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onashieder2\Desktop\GRADOS\"/>
    </mc:Choice>
  </mc:AlternateContent>
  <bookViews>
    <workbookView xWindow="0" yWindow="0" windowWidth="19200" windowHeight="11505"/>
  </bookViews>
  <sheets>
    <sheet name="Hoja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Q2" i="1" l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BE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Z2" i="1"/>
  <c r="Y2" i="1"/>
  <c r="AR61" i="1" l="1"/>
  <c r="AR62" i="1"/>
  <c r="AR63" i="1"/>
  <c r="AR64" i="1"/>
  <c r="AR65" i="1"/>
  <c r="BP60" i="1" l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P4" i="1"/>
  <c r="BP3" i="1"/>
  <c r="BP2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O6" i="1"/>
  <c r="BO5" i="1"/>
  <c r="BO4" i="1"/>
  <c r="BO3" i="1"/>
  <c r="BO2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F3" i="1"/>
  <c r="BF2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BQ6" i="1" l="1"/>
  <c r="BR6" i="1" s="1"/>
  <c r="CT60" i="1" l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T10" i="1"/>
  <c r="CT9" i="1"/>
  <c r="CT8" i="1"/>
  <c r="CT7" i="1"/>
  <c r="CT6" i="1"/>
  <c r="CT5" i="1"/>
  <c r="CT4" i="1"/>
  <c r="CT3" i="1"/>
  <c r="CV60" i="1"/>
  <c r="CU60" i="1"/>
  <c r="CV59" i="1"/>
  <c r="CU59" i="1"/>
  <c r="CV58" i="1"/>
  <c r="CU58" i="1"/>
  <c r="CV57" i="1"/>
  <c r="CU57" i="1"/>
  <c r="CV56" i="1"/>
  <c r="CU56" i="1"/>
  <c r="CV55" i="1"/>
  <c r="CU55" i="1"/>
  <c r="CV54" i="1"/>
  <c r="CU54" i="1"/>
  <c r="CV53" i="1"/>
  <c r="CU53" i="1"/>
  <c r="CV52" i="1"/>
  <c r="CU52" i="1"/>
  <c r="CU51" i="1"/>
  <c r="CU50" i="1"/>
  <c r="CV49" i="1"/>
  <c r="CU49" i="1"/>
  <c r="CV48" i="1"/>
  <c r="CU48" i="1"/>
  <c r="CV47" i="1"/>
  <c r="CU47" i="1"/>
  <c r="CV46" i="1"/>
  <c r="CU46" i="1"/>
  <c r="CV45" i="1"/>
  <c r="CU45" i="1"/>
  <c r="CV44" i="1"/>
  <c r="CU44" i="1"/>
  <c r="CV43" i="1"/>
  <c r="CU43" i="1"/>
  <c r="CV42" i="1"/>
  <c r="CU42" i="1"/>
  <c r="CV41" i="1"/>
  <c r="CU41" i="1"/>
  <c r="CV40" i="1"/>
  <c r="CU40" i="1"/>
  <c r="CV39" i="1"/>
  <c r="CU39" i="1"/>
  <c r="CV38" i="1"/>
  <c r="CU38" i="1"/>
  <c r="CV37" i="1"/>
  <c r="CU37" i="1"/>
  <c r="CV36" i="1"/>
  <c r="CU36" i="1"/>
  <c r="CV35" i="1"/>
  <c r="CU35" i="1"/>
  <c r="CV34" i="1"/>
  <c r="CU34" i="1"/>
  <c r="CV33" i="1"/>
  <c r="CU33" i="1"/>
  <c r="CV32" i="1"/>
  <c r="CU32" i="1"/>
  <c r="CV31" i="1"/>
  <c r="CU31" i="1"/>
  <c r="CV30" i="1"/>
  <c r="CU30" i="1"/>
  <c r="CV29" i="1"/>
  <c r="CU29" i="1"/>
  <c r="CV28" i="1"/>
  <c r="CU28" i="1"/>
  <c r="CV27" i="1"/>
  <c r="CU27" i="1"/>
  <c r="CV26" i="1"/>
  <c r="CU26" i="1"/>
  <c r="CV25" i="1"/>
  <c r="CU25" i="1"/>
  <c r="CV24" i="1"/>
  <c r="CU24" i="1"/>
  <c r="CV23" i="1"/>
  <c r="CU23" i="1"/>
  <c r="CV22" i="1"/>
  <c r="CU22" i="1"/>
  <c r="CV21" i="1"/>
  <c r="CU21" i="1"/>
  <c r="CV20" i="1"/>
  <c r="CU20" i="1"/>
  <c r="CV19" i="1"/>
  <c r="CU19" i="1"/>
  <c r="CV18" i="1"/>
  <c r="CU18" i="1"/>
  <c r="CV17" i="1"/>
  <c r="CU17" i="1"/>
  <c r="CV16" i="1"/>
  <c r="CU16" i="1"/>
  <c r="CV15" i="1"/>
  <c r="CU15" i="1"/>
  <c r="CV14" i="1"/>
  <c r="CU14" i="1"/>
  <c r="CV13" i="1"/>
  <c r="CU13" i="1"/>
  <c r="CV12" i="1"/>
  <c r="CU12" i="1"/>
  <c r="CV11" i="1"/>
  <c r="CU11" i="1"/>
  <c r="CV10" i="1"/>
  <c r="CU10" i="1"/>
  <c r="CY32" i="1" l="1"/>
  <c r="CY34" i="1"/>
  <c r="CY27" i="1"/>
  <c r="CY53" i="1"/>
  <c r="CY59" i="1"/>
  <c r="CY28" i="1"/>
  <c r="CY39" i="1"/>
  <c r="CY41" i="1"/>
  <c r="CY43" i="1"/>
  <c r="CY45" i="1"/>
  <c r="CY47" i="1"/>
  <c r="CY51" i="1"/>
  <c r="CY56" i="1"/>
  <c r="CY58" i="1"/>
  <c r="CY10" i="1"/>
  <c r="CY14" i="1"/>
  <c r="CY18" i="1"/>
  <c r="CY22" i="1"/>
  <c r="CY9" i="1"/>
  <c r="CY11" i="1"/>
  <c r="CY13" i="1"/>
  <c r="CY15" i="1"/>
  <c r="CY17" i="1"/>
  <c r="CY19" i="1"/>
  <c r="CY21" i="1"/>
  <c r="CY23" i="1"/>
  <c r="CY25" i="1"/>
  <c r="CY36" i="1"/>
  <c r="CY55" i="1"/>
  <c r="CY57" i="1"/>
  <c r="CY29" i="1"/>
  <c r="CY24" i="1"/>
  <c r="CY31" i="1"/>
  <c r="CY33" i="1"/>
  <c r="CY35" i="1"/>
  <c r="CY37" i="1"/>
  <c r="CY44" i="1"/>
  <c r="CY46" i="1"/>
  <c r="CY50" i="1"/>
  <c r="CY26" i="1"/>
  <c r="CY38" i="1"/>
  <c r="CY52" i="1"/>
  <c r="CY8" i="1"/>
  <c r="CY12" i="1"/>
  <c r="CY16" i="1"/>
  <c r="CY20" i="1"/>
  <c r="CY30" i="1"/>
  <c r="CY40" i="1"/>
  <c r="CY42" i="1"/>
  <c r="CY54" i="1"/>
  <c r="BU60" i="1" l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6" i="1"/>
  <c r="BV6" i="1" l="1"/>
  <c r="BW6" i="1" s="1"/>
  <c r="CY60" i="1"/>
  <c r="BQ2" i="1" l="1"/>
  <c r="CJ2" i="1"/>
  <c r="CT2" i="1"/>
  <c r="CO60" i="1"/>
  <c r="CJ60" i="1"/>
  <c r="CE60" i="1"/>
  <c r="BZ60" i="1"/>
  <c r="CO59" i="1"/>
  <c r="CJ59" i="1"/>
  <c r="CE59" i="1"/>
  <c r="BZ59" i="1"/>
  <c r="CO58" i="1"/>
  <c r="CJ58" i="1"/>
  <c r="CE58" i="1"/>
  <c r="BZ58" i="1"/>
  <c r="CO57" i="1"/>
  <c r="CJ57" i="1"/>
  <c r="CE57" i="1"/>
  <c r="BZ57" i="1"/>
  <c r="CO56" i="1"/>
  <c r="CJ56" i="1"/>
  <c r="BZ56" i="1"/>
  <c r="CO55" i="1"/>
  <c r="CJ55" i="1"/>
  <c r="CE55" i="1"/>
  <c r="BZ55" i="1"/>
  <c r="CO54" i="1"/>
  <c r="CJ54" i="1"/>
  <c r="CE54" i="1"/>
  <c r="BZ54" i="1"/>
  <c r="CO53" i="1"/>
  <c r="CJ53" i="1"/>
  <c r="CE53" i="1"/>
  <c r="BZ53" i="1"/>
  <c r="CO52" i="1"/>
  <c r="CJ52" i="1"/>
  <c r="CE52" i="1"/>
  <c r="BZ52" i="1"/>
  <c r="CL51" i="1"/>
  <c r="CV51" i="1" s="1"/>
  <c r="CY49" i="1" s="1"/>
  <c r="CJ51" i="1"/>
  <c r="CE51" i="1"/>
  <c r="BZ51" i="1"/>
  <c r="CL50" i="1"/>
  <c r="CV50" i="1" s="1"/>
  <c r="CY48" i="1" s="1"/>
  <c r="CJ50" i="1"/>
  <c r="CE50" i="1"/>
  <c r="BZ50" i="1"/>
  <c r="CJ49" i="1"/>
  <c r="CE49" i="1"/>
  <c r="BZ49" i="1"/>
  <c r="CO48" i="1"/>
  <c r="CJ48" i="1"/>
  <c r="CE48" i="1"/>
  <c r="BZ48" i="1"/>
  <c r="CO47" i="1"/>
  <c r="CJ47" i="1"/>
  <c r="CE47" i="1"/>
  <c r="BZ47" i="1"/>
  <c r="CO46" i="1"/>
  <c r="CJ46" i="1"/>
  <c r="CE46" i="1"/>
  <c r="BZ46" i="1"/>
  <c r="CO45" i="1"/>
  <c r="CJ45" i="1"/>
  <c r="CE45" i="1"/>
  <c r="BZ45" i="1"/>
  <c r="CO44" i="1"/>
  <c r="CJ44" i="1"/>
  <c r="CE44" i="1"/>
  <c r="BZ44" i="1"/>
  <c r="CO43" i="1"/>
  <c r="CJ43" i="1"/>
  <c r="CE43" i="1"/>
  <c r="BZ43" i="1"/>
  <c r="CJ42" i="1"/>
  <c r="BZ42" i="1"/>
  <c r="CO41" i="1"/>
  <c r="CJ41" i="1"/>
  <c r="CE41" i="1"/>
  <c r="BZ41" i="1"/>
  <c r="CO40" i="1"/>
  <c r="CJ40" i="1"/>
  <c r="CE40" i="1"/>
  <c r="BZ40" i="1"/>
  <c r="CJ39" i="1"/>
  <c r="BZ39" i="1"/>
  <c r="CO38" i="1"/>
  <c r="CJ38" i="1"/>
  <c r="CE38" i="1"/>
  <c r="BZ38" i="1"/>
  <c r="CO37" i="1"/>
  <c r="CJ37" i="1"/>
  <c r="CE37" i="1"/>
  <c r="BZ37" i="1"/>
  <c r="CO36" i="1"/>
  <c r="CJ36" i="1"/>
  <c r="CE36" i="1"/>
  <c r="BZ36" i="1"/>
  <c r="CJ35" i="1"/>
  <c r="BZ35" i="1"/>
  <c r="CO34" i="1"/>
  <c r="CJ34" i="1"/>
  <c r="CE34" i="1"/>
  <c r="BZ34" i="1"/>
  <c r="CO33" i="1"/>
  <c r="CJ33" i="1"/>
  <c r="CE33" i="1"/>
  <c r="BZ33" i="1"/>
  <c r="CO32" i="1"/>
  <c r="CJ32" i="1"/>
  <c r="CE32" i="1"/>
  <c r="BZ32" i="1"/>
  <c r="CO31" i="1"/>
  <c r="CJ31" i="1"/>
  <c r="CE31" i="1"/>
  <c r="BZ31" i="1"/>
  <c r="CJ30" i="1"/>
  <c r="BZ30" i="1"/>
  <c r="CJ29" i="1"/>
  <c r="BZ29" i="1"/>
  <c r="CO28" i="1"/>
  <c r="CJ28" i="1"/>
  <c r="CE28" i="1"/>
  <c r="BZ28" i="1"/>
  <c r="CO27" i="1"/>
  <c r="CJ27" i="1"/>
  <c r="CE27" i="1"/>
  <c r="BZ27" i="1"/>
  <c r="CO26" i="1"/>
  <c r="CJ26" i="1"/>
  <c r="CE26" i="1"/>
  <c r="BZ26" i="1"/>
  <c r="CO25" i="1"/>
  <c r="CJ25" i="1"/>
  <c r="CE25" i="1"/>
  <c r="BZ25" i="1"/>
  <c r="CO24" i="1"/>
  <c r="CJ24" i="1"/>
  <c r="CE24" i="1"/>
  <c r="BZ24" i="1"/>
  <c r="CO23" i="1"/>
  <c r="CJ23" i="1"/>
  <c r="CE23" i="1"/>
  <c r="BZ23" i="1"/>
  <c r="CO22" i="1"/>
  <c r="CJ22" i="1"/>
  <c r="CE22" i="1"/>
  <c r="BZ22" i="1"/>
  <c r="CO21" i="1"/>
  <c r="CJ21" i="1"/>
  <c r="CE21" i="1"/>
  <c r="BZ21" i="1"/>
  <c r="CO20" i="1"/>
  <c r="CJ20" i="1"/>
  <c r="CE20" i="1"/>
  <c r="BZ20" i="1"/>
  <c r="CO19" i="1"/>
  <c r="CJ19" i="1"/>
  <c r="CE19" i="1"/>
  <c r="BZ19" i="1"/>
  <c r="CO18" i="1"/>
  <c r="CJ18" i="1"/>
  <c r="CE18" i="1"/>
  <c r="BZ18" i="1"/>
  <c r="CJ17" i="1"/>
  <c r="BZ17" i="1"/>
  <c r="CO16" i="1"/>
  <c r="CJ16" i="1"/>
  <c r="CE16" i="1"/>
  <c r="BZ16" i="1"/>
  <c r="CO15" i="1"/>
  <c r="CJ15" i="1"/>
  <c r="CE15" i="1"/>
  <c r="BZ15" i="1"/>
  <c r="CO14" i="1"/>
  <c r="CJ14" i="1"/>
  <c r="CE14" i="1"/>
  <c r="BZ14" i="1"/>
  <c r="CO13" i="1"/>
  <c r="CJ13" i="1"/>
  <c r="CE13" i="1"/>
  <c r="BZ13" i="1"/>
  <c r="CJ12" i="1"/>
  <c r="BZ12" i="1"/>
  <c r="CO11" i="1"/>
  <c r="CJ11" i="1"/>
  <c r="CE11" i="1"/>
  <c r="BZ11" i="1"/>
  <c r="CJ10" i="1"/>
  <c r="BZ10" i="1"/>
  <c r="CO9" i="1"/>
  <c r="CJ9" i="1"/>
  <c r="CO8" i="1"/>
  <c r="CJ8" i="1"/>
  <c r="BQ8" i="1"/>
  <c r="CO7" i="1"/>
  <c r="CJ7" i="1"/>
  <c r="BQ7" i="1"/>
  <c r="CJ6" i="1"/>
  <c r="BZ6" i="1"/>
  <c r="CA6" i="1" s="1"/>
  <c r="CU6" i="1" s="1"/>
  <c r="CJ5" i="1"/>
  <c r="CJ4" i="1"/>
  <c r="CJ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CB6" i="1" l="1"/>
  <c r="CV6" i="1" s="1"/>
  <c r="CY4" i="1" s="1"/>
  <c r="CE39" i="1"/>
  <c r="CO42" i="1"/>
  <c r="CO30" i="1"/>
  <c r="CO12" i="1"/>
  <c r="CO50" i="1"/>
  <c r="CE10" i="1"/>
  <c r="CO17" i="1"/>
  <c r="CE29" i="1"/>
  <c r="CO35" i="1"/>
  <c r="CO51" i="1"/>
  <c r="CO10" i="1"/>
  <c r="CE12" i="1"/>
  <c r="CO29" i="1"/>
  <c r="CE30" i="1"/>
  <c r="CE42" i="1"/>
  <c r="CO49" i="1"/>
  <c r="CE56" i="1"/>
  <c r="CO6" i="1"/>
  <c r="CE17" i="1"/>
  <c r="CE35" i="1"/>
  <c r="CO39" i="1"/>
  <c r="BR2" i="1"/>
  <c r="BU2" i="1" s="1"/>
  <c r="BQ5" i="1"/>
  <c r="BR7" i="1"/>
  <c r="BU7" i="1" s="1"/>
  <c r="BR8" i="1"/>
  <c r="BQ9" i="1"/>
  <c r="BQ4" i="1"/>
  <c r="BQ3" i="1"/>
  <c r="CE6" i="1" l="1"/>
  <c r="BU8" i="1"/>
  <c r="BV8" i="1" s="1"/>
  <c r="BV7" i="1"/>
  <c r="BR3" i="1"/>
  <c r="BR4" i="1"/>
  <c r="BU4" i="1" s="1"/>
  <c r="BR5" i="1"/>
  <c r="BR9" i="1"/>
  <c r="BU9" i="1" l="1"/>
  <c r="BU5" i="1"/>
  <c r="BV5" i="1" s="1"/>
  <c r="BU3" i="1"/>
  <c r="BV3" i="1" s="1"/>
  <c r="BW8" i="1"/>
  <c r="BZ8" i="1" s="1"/>
  <c r="BW7" i="1"/>
  <c r="BV2" i="1"/>
  <c r="BV4" i="1"/>
  <c r="BZ7" i="1" l="1"/>
  <c r="CA7" i="1" s="1"/>
  <c r="CU7" i="1" s="1"/>
  <c r="BW3" i="1"/>
  <c r="BW5" i="1"/>
  <c r="BW4" i="1"/>
  <c r="BZ4" i="1" s="1"/>
  <c r="CA4" i="1" s="1"/>
  <c r="CU4" i="1" s="1"/>
  <c r="BV9" i="1"/>
  <c r="BW2" i="1"/>
  <c r="CA8" i="1"/>
  <c r="CU8" i="1" s="1"/>
  <c r="BZ5" i="1" l="1"/>
  <c r="CA5" i="1" s="1"/>
  <c r="CU5" i="1" s="1"/>
  <c r="BW9" i="1"/>
  <c r="BZ3" i="1"/>
  <c r="CA3" i="1" s="1"/>
  <c r="CU3" i="1" s="1"/>
  <c r="CB4" i="1"/>
  <c r="CV4" i="1" s="1"/>
  <c r="BZ2" i="1"/>
  <c r="CB8" i="1"/>
  <c r="CV8" i="1" s="1"/>
  <c r="CY6" i="1" s="1"/>
  <c r="CB7" i="1"/>
  <c r="CV7" i="1" s="1"/>
  <c r="CY5" i="1" s="1"/>
  <c r="CE4" i="1" l="1"/>
  <c r="CB5" i="1"/>
  <c r="CV5" i="1" s="1"/>
  <c r="CY3" i="1" s="1"/>
  <c r="CB3" i="1"/>
  <c r="CV3" i="1" s="1"/>
  <c r="BZ9" i="1"/>
  <c r="CA9" i="1" s="1"/>
  <c r="CY2" i="1"/>
  <c r="CA2" i="1"/>
  <c r="CE7" i="1"/>
  <c r="CE3" i="1" l="1"/>
  <c r="CB9" i="1"/>
  <c r="CU9" i="1"/>
  <c r="CE8" i="1"/>
  <c r="CU2" i="1"/>
  <c r="CB2" i="1"/>
  <c r="CE5" i="1"/>
  <c r="CE9" i="1" l="1"/>
  <c r="CV9" i="1"/>
  <c r="CY7" i="1" s="1"/>
  <c r="CV2" i="1"/>
  <c r="CE2" i="1" l="1"/>
</calcChain>
</file>

<file path=xl/sharedStrings.xml><?xml version="1.0" encoding="utf-8"?>
<sst xmlns="http://schemas.openxmlformats.org/spreadsheetml/2006/main" count="291" uniqueCount="171">
  <si>
    <t>ALANYA ESPINOZA LEONARDO</t>
  </si>
  <si>
    <t>SANTA FE</t>
  </si>
  <si>
    <t xml:space="preserve">ALVES SANCHEZ MATIAS JOSUE </t>
  </si>
  <si>
    <t>ANGEL YEPEZ VALERY</t>
  </si>
  <si>
    <t xml:space="preserve">APAZA PAREJA JUAN CARLOS </t>
  </si>
  <si>
    <t>LA PAZ</t>
  </si>
  <si>
    <t>ARANDA MANSILLA PAZ RIHANA</t>
  </si>
  <si>
    <t>AVILA DÁVILA CAROLINE BRIGUITH</t>
  </si>
  <si>
    <t>BAJONERO CARAZAS FRANCESCA NAOMI</t>
  </si>
  <si>
    <t>BELLIDO ROMERO CRISTINA</t>
  </si>
  <si>
    <t>BONILLA CHANCAFE FABIAN</t>
  </si>
  <si>
    <t>BRAVO PIMENTEL MATIAS ERNESTO</t>
  </si>
  <si>
    <t>CARDENAS QUIROZ MARIANA</t>
  </si>
  <si>
    <t>CERNA MARTINEZ  IAN  ALEJANDRO</t>
  </si>
  <si>
    <t>CORNEJO PURIZAGA KEYSI DRUSILA</t>
  </si>
  <si>
    <t>CRUZ DUEÑAS JORGE ANDRES</t>
  </si>
  <si>
    <t>CRUZ VASQUEZ XIOMARA ALEJANDRA</t>
  </si>
  <si>
    <t>CRUZADO TRAUCO ADRIEL STEVE</t>
  </si>
  <si>
    <t>DÁVILA BECERRA ESTHER EMPERATRIZ</t>
  </si>
  <si>
    <t>ENRIQUEZ VARGAS LUHANA</t>
  </si>
  <si>
    <t xml:space="preserve">ESPINOZA  ZAPATA  DOMINIC </t>
  </si>
  <si>
    <t>ESTEBAN TRUJILLO ADRIAN FABIANO</t>
  </si>
  <si>
    <t>FAJARDO RAMIREZ VALERIA</t>
  </si>
  <si>
    <t>FLORES  LEIVA MELLBIONDA</t>
  </si>
  <si>
    <t>FLORES MORENO FRANCESCO</t>
  </si>
  <si>
    <t>FLORES VALVERDE CIELO JIMENA</t>
  </si>
  <si>
    <t>GONZALES CASTRO CUBA JHON FABRICIO</t>
  </si>
  <si>
    <t>GUEVARA ORTIZ CAMILA</t>
  </si>
  <si>
    <t>HERRERA  BAJONERO ASTRID TERINA</t>
  </si>
  <si>
    <t>HUAMANI MACHACA JESUS</t>
  </si>
  <si>
    <t>HUAYTALLA RODRIGUEZ JEAN PIER</t>
  </si>
  <si>
    <t>LOA GONZALES BRYHAN EDUARDO</t>
  </si>
  <si>
    <t>LOCONI CHAFIO DAYANNA NICOLE</t>
  </si>
  <si>
    <t>MARTEL MENDOZA MARIA DEL PILAR</t>
  </si>
  <si>
    <t>MEDINA DIOSES ANGELICA</t>
  </si>
  <si>
    <t xml:space="preserve">MENDEZ BRICEÑO ARIANDA </t>
  </si>
  <si>
    <t>MENDEZ QUISPE VIVIAN DIANA</t>
  </si>
  <si>
    <t>MONZON REQUE ANGELLY CRISTELL</t>
  </si>
  <si>
    <t>MORENO PENACHE ALISON</t>
  </si>
  <si>
    <t xml:space="preserve">NEYRA HERRERA DYANA YAMILE </t>
  </si>
  <si>
    <t>OBANDO NUÑEZ DYSYS</t>
  </si>
  <si>
    <t>PALOMINO SALAZAR FERNANDO</t>
  </si>
  <si>
    <t>PAREDES  RIVAS MARIANYILIS DEL VALLE</t>
  </si>
  <si>
    <t xml:space="preserve">PEREZ CRIADO DAVID FABRIZIO </t>
  </si>
  <si>
    <t>PLUGLISEVICH ROSALES STEPHANY</t>
  </si>
  <si>
    <t>QUEVEDO ROQUE KIARA</t>
  </si>
  <si>
    <t>QUITO ESPINOZA  ANGEE MAILY YOVANA</t>
  </si>
  <si>
    <t>RAMIREZ VOLPE MARIÉES</t>
  </si>
  <si>
    <t>REATEGUI TORRES ALLISON</t>
  </si>
  <si>
    <t>RIMARACHIN CASTILLO DENISSE</t>
  </si>
  <si>
    <t>RIOS MORENO AYRTON  JHOSINEY</t>
  </si>
  <si>
    <t>RODRIGUEZ NUÑEZ ANDRE</t>
  </si>
  <si>
    <t>ROPA ESQUIVEL CARLOS FABRIZIO</t>
  </si>
  <si>
    <t>RUIZ INGRASSIA LEONARDO JESUS</t>
  </si>
  <si>
    <t>SAUCEDO URBANO, GALO FABRIZIO</t>
  </si>
  <si>
    <t>SEDANO BULLON LUCIANA ALEJANDRA</t>
  </si>
  <si>
    <t>SOSA ZAMBRANO ZAMIRA BELEN</t>
  </si>
  <si>
    <t>SOTO APOLAYA JHONATAN</t>
  </si>
  <si>
    <t>TALLA LOZANO YASMIN ARLETH</t>
  </si>
  <si>
    <t>TRUJILLO  REQUEJO PIERO FABRICIO</t>
  </si>
  <si>
    <t xml:space="preserve">ZAMUDIO QUIROZ RUDI FABIANA </t>
  </si>
  <si>
    <t>Algebra 1</t>
  </si>
  <si>
    <t>Algebra 2</t>
  </si>
  <si>
    <t>Algebra 3</t>
  </si>
  <si>
    <t>Algebra 4</t>
  </si>
  <si>
    <t>aritmet 1</t>
  </si>
  <si>
    <t>aritmet 2</t>
  </si>
  <si>
    <t>aritmet 3</t>
  </si>
  <si>
    <t>aritmet 4</t>
  </si>
  <si>
    <t>Geom 1</t>
  </si>
  <si>
    <t>Geom 2</t>
  </si>
  <si>
    <t>Geom 3</t>
  </si>
  <si>
    <t>Geom 4</t>
  </si>
  <si>
    <t>RM 1</t>
  </si>
  <si>
    <t>RM 2</t>
  </si>
  <si>
    <t>RM 3</t>
  </si>
  <si>
    <t>RM 4</t>
  </si>
  <si>
    <t>Trigo 1</t>
  </si>
  <si>
    <t>Trigo 2</t>
  </si>
  <si>
    <t>Trigo 3</t>
  </si>
  <si>
    <t>Trigo 4</t>
  </si>
  <si>
    <t>NM1</t>
  </si>
  <si>
    <t>Leng 1</t>
  </si>
  <si>
    <t>Leng 2</t>
  </si>
  <si>
    <t>Leng 3</t>
  </si>
  <si>
    <t>Leng 4</t>
  </si>
  <si>
    <t>Lit 1</t>
  </si>
  <si>
    <t>Lit 2</t>
  </si>
  <si>
    <t>Lit 3</t>
  </si>
  <si>
    <t>Lit 4</t>
  </si>
  <si>
    <t>P Lector 1</t>
  </si>
  <si>
    <t>P Lector 2</t>
  </si>
  <si>
    <t>P Lector 3</t>
  </si>
  <si>
    <t>P Lector 4</t>
  </si>
  <si>
    <t>Raz Verb 1</t>
  </si>
  <si>
    <t>Raz Verb 2</t>
  </si>
  <si>
    <t>Raz Verb 3</t>
  </si>
  <si>
    <t>Raz Verb 4</t>
  </si>
  <si>
    <t>NC1</t>
  </si>
  <si>
    <t>Biolog 1</t>
  </si>
  <si>
    <t>Biolog 2</t>
  </si>
  <si>
    <t>Biolog 3</t>
  </si>
  <si>
    <t>Biolog 4</t>
  </si>
  <si>
    <t>Fisica E 1</t>
  </si>
  <si>
    <t>Fisica E 2</t>
  </si>
  <si>
    <t>Fisica E 3</t>
  </si>
  <si>
    <t>Fisica E 4</t>
  </si>
  <si>
    <t>Quimica 1</t>
  </si>
  <si>
    <t>Quimica 2</t>
  </si>
  <si>
    <t>Quimica 3</t>
  </si>
  <si>
    <t>Quimica 4</t>
  </si>
  <si>
    <t>NCt1</t>
  </si>
  <si>
    <t>Historia 1</t>
  </si>
  <si>
    <t>Historia 2</t>
  </si>
  <si>
    <t>Historia 3</t>
  </si>
  <si>
    <t>Historia 4</t>
  </si>
  <si>
    <t>Geografia 1</t>
  </si>
  <si>
    <t>Geografia 2</t>
  </si>
  <si>
    <t>Geografia 3</t>
  </si>
  <si>
    <t>Geografia 4</t>
  </si>
  <si>
    <t>Nps1</t>
  </si>
  <si>
    <t>Ingles 1</t>
  </si>
  <si>
    <t>Ingles 2</t>
  </si>
  <si>
    <t>Ingles 3</t>
  </si>
  <si>
    <t>Ingles 4</t>
  </si>
  <si>
    <t>NI1</t>
  </si>
  <si>
    <t>Computo 1</t>
  </si>
  <si>
    <t>Computo 2</t>
  </si>
  <si>
    <t>Computo 3</t>
  </si>
  <si>
    <t>Computo 4</t>
  </si>
  <si>
    <t>Ncomp</t>
  </si>
  <si>
    <t>Ed. Fisica 1</t>
  </si>
  <si>
    <t>Ed. Fisica 2</t>
  </si>
  <si>
    <t>Ed. Fisica 3</t>
  </si>
  <si>
    <t>Ed. Fisica 4</t>
  </si>
  <si>
    <t>Nefis</t>
  </si>
  <si>
    <t>Arte 1</t>
  </si>
  <si>
    <t>Arte 2</t>
  </si>
  <si>
    <t>Arte 3</t>
  </si>
  <si>
    <t>Arte 4</t>
  </si>
  <si>
    <t>Narte</t>
  </si>
  <si>
    <t>Ed Civica 1</t>
  </si>
  <si>
    <t>Ed Civica 2</t>
  </si>
  <si>
    <t>Ed Civica 3</t>
  </si>
  <si>
    <t>Ed Civica 4</t>
  </si>
  <si>
    <t>Nec</t>
  </si>
  <si>
    <t>Conducta 1</t>
  </si>
  <si>
    <t>Conducta 2</t>
  </si>
  <si>
    <t>Conducta 3</t>
  </si>
  <si>
    <t>Conducta 4</t>
  </si>
  <si>
    <t>Ncond</t>
  </si>
  <si>
    <t>PUNTAJE 1</t>
  </si>
  <si>
    <t>PUNTAJE 2</t>
  </si>
  <si>
    <t>PUNTAJE 3</t>
  </si>
  <si>
    <t>PUNTAJE 4</t>
  </si>
  <si>
    <t>PUNTAJE</t>
  </si>
  <si>
    <t xml:space="preserve">OBSERVACIONES </t>
  </si>
  <si>
    <t>alumno</t>
  </si>
  <si>
    <t>sede</t>
  </si>
  <si>
    <t>it</t>
  </si>
  <si>
    <t>Grado</t>
  </si>
  <si>
    <t>6to Grado de Primaria</t>
  </si>
  <si>
    <t>NM2</t>
  </si>
  <si>
    <t>NC2</t>
  </si>
  <si>
    <t>NCt2</t>
  </si>
  <si>
    <t>Nps2</t>
  </si>
  <si>
    <t>GONZALES DÍAZ. ASDRUBAL ALEXANDER</t>
  </si>
  <si>
    <t>López Gómez, María</t>
  </si>
  <si>
    <t>Paz Aranda, Rihana</t>
  </si>
  <si>
    <t>Vasquez, Fabricio</t>
  </si>
  <si>
    <t>Espinoza, Angee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</si>
</sst>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</font>
    <font>
      <b/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8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8"/>
      <color rgb="FFFF0000"/>
      <name val="Calibri"/>
      <family val="2"/>
    </font>
    <font>
      <sz val="8"/>
      <color rgb="FF000000"/>
      <name val="Roboto"/>
    </font>
    <font>
      <sz val="8"/>
      <color rgb="FFFF0000"/>
      <name val="Roboto"/>
    </font>
    <font>
      <sz val="8"/>
      <color rgb="FFFF0000"/>
      <name val="Arial"/>
      <family val="2"/>
    </font>
    <font>
      <sz val="8"/>
      <name val="Arial"/>
      <family val="2"/>
    </font>
    <font>
      <sz val="10"/>
      <color rgb="FFFF0000"/>
      <name val="Calibri"/>
      <family val="2"/>
    </font>
    <font>
      <sz val="9"/>
      <color rgb="FF000000"/>
      <name val="Calibri"/>
      <family val="2"/>
    </font>
    <font>
      <sz val="10"/>
      <color rgb="FF000000"/>
      <name val="Roboto"/>
    </font>
    <font>
      <sz val="9"/>
      <name val="Arial"/>
      <family val="2"/>
    </font>
    <font>
      <sz val="8"/>
      <color rgb="FFFF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BA189"/>
        <bgColor rgb="FFFBA189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  <fill>
      <patternFill patternType="solid">
        <fgColor rgb="FF548135"/>
        <bgColor rgb="FF548135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DADADA"/>
        <bgColor rgb="FFDADADA"/>
      </patternFill>
    </fill>
    <fill>
      <patternFill patternType="solid">
        <fgColor rgb="FFB4C6E7"/>
        <bgColor rgb="FFB4C6E7"/>
      </patternFill>
    </fill>
    <fill>
      <patternFill patternType="solid">
        <fgColor rgb="FFDEEAF6"/>
        <bgColor rgb="FFDEEAF6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rgb="FFF4B083"/>
      </patternFill>
    </fill>
    <fill>
      <patternFill patternType="solid">
        <fgColor theme="0" tint="-0.14999847407452621"/>
        <bgColor rgb="FF9CC2E5"/>
      </patternFill>
    </fill>
    <fill>
      <patternFill patternType="solid">
        <fgColor theme="0" tint="-0.14999847407452621"/>
        <bgColor rgb="FFFFD965"/>
      </patternFill>
    </fill>
    <fill>
      <patternFill patternType="solid">
        <fgColor theme="0" tint="-0.14999847407452621"/>
        <bgColor rgb="FFDADADA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theme="0" tint="-0.14999847407452621"/>
        <bgColor rgb="FFFBA189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rgb="FFC8C8C8"/>
      </patternFill>
    </fill>
    <fill>
      <patternFill patternType="solid">
        <fgColor theme="0" tint="-0.14999847407452621"/>
        <bgColor rgb="FFADB9CA"/>
      </patternFill>
    </fill>
    <fill>
      <patternFill patternType="solid">
        <fgColor theme="0" tint="-0.14999847407452621"/>
        <bgColor rgb="FFB4C6E7"/>
      </patternFill>
    </fill>
    <fill>
      <patternFill patternType="solid">
        <fgColor theme="0" tint="-0.14999847407452621"/>
        <bgColor rgb="FFDEEAF6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BA189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rgb="FFC8C8C8"/>
      </patternFill>
    </fill>
    <fill>
      <patternFill patternType="solid">
        <fgColor theme="0" tint="-0.249977111117893"/>
        <bgColor rgb="FFADB9CA"/>
      </patternFill>
    </fill>
    <fill>
      <patternFill patternType="solid">
        <fgColor theme="0" tint="-0.249977111117893"/>
        <bgColor rgb="FF548135"/>
      </patternFill>
    </fill>
    <fill>
      <patternFill patternType="solid">
        <fgColor theme="0" tint="-0.249977111117893"/>
        <bgColor rgb="FFF4B083"/>
      </patternFill>
    </fill>
    <fill>
      <patternFill patternType="solid">
        <fgColor theme="0" tint="-0.249977111117893"/>
        <bgColor rgb="FF9CC2E5"/>
      </patternFill>
    </fill>
    <fill>
      <patternFill patternType="solid">
        <fgColor theme="0" tint="-0.249977111117893"/>
        <bgColor rgb="FFFFD965"/>
      </patternFill>
    </fill>
    <fill>
      <patternFill patternType="solid">
        <fgColor theme="0" tint="-0.249977111117893"/>
        <bgColor rgb="FFDADADA"/>
      </patternFill>
    </fill>
    <fill>
      <patternFill patternType="solid">
        <fgColor theme="0" tint="-0.249977111117893"/>
        <bgColor rgb="FFB4C6E7"/>
      </patternFill>
    </fill>
    <fill>
      <patternFill patternType="solid">
        <fgColor theme="0" tint="-0.249977111117893"/>
        <bgColor rgb="FFDEEAF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0" xfId="0" applyFont="1" applyAlignment="1"/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ont="1" applyFill="1" applyBorder="1"/>
    <xf numFmtId="0" fontId="0" fillId="2" borderId="0" xfId="0" applyFont="1" applyFill="1" applyBorder="1"/>
    <xf numFmtId="0" fontId="6" fillId="0" borderId="4" xfId="0" applyFont="1" applyBorder="1" applyAlignment="1">
      <alignment textRotation="90"/>
    </xf>
    <xf numFmtId="0" fontId="6" fillId="0" borderId="7" xfId="0" applyFont="1" applyBorder="1" applyAlignment="1">
      <alignment textRotation="90"/>
    </xf>
    <xf numFmtId="0" fontId="2" fillId="0" borderId="5" xfId="0" applyFont="1" applyBorder="1"/>
    <xf numFmtId="0" fontId="0" fillId="0" borderId="6" xfId="0" applyBorder="1"/>
    <xf numFmtId="0" fontId="2" fillId="16" borderId="2" xfId="0" applyFont="1" applyFill="1" applyBorder="1"/>
    <xf numFmtId="0" fontId="3" fillId="16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0" fillId="15" borderId="2" xfId="0" applyFont="1" applyFill="1" applyBorder="1"/>
    <xf numFmtId="0" fontId="0" fillId="15" borderId="0" xfId="0" applyFont="1" applyFill="1" applyBorder="1"/>
    <xf numFmtId="0" fontId="0" fillId="16" borderId="0" xfId="0" applyFont="1" applyFill="1" applyAlignment="1"/>
    <xf numFmtId="0" fontId="0" fillId="16" borderId="2" xfId="0" applyFont="1" applyFill="1" applyBorder="1"/>
    <xf numFmtId="0" fontId="7" fillId="16" borderId="8" xfId="0" applyFont="1" applyFill="1" applyBorder="1" applyAlignment="1">
      <alignment horizontal="center" vertical="center"/>
    </xf>
    <xf numFmtId="0" fontId="8" fillId="0" borderId="6" xfId="0" applyFont="1" applyFill="1" applyBorder="1" applyAlignment="1"/>
    <xf numFmtId="0" fontId="9" fillId="0" borderId="6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/>
    </xf>
    <xf numFmtId="0" fontId="10" fillId="25" borderId="6" xfId="0" applyFont="1" applyFill="1" applyBorder="1" applyAlignment="1">
      <alignment horizontal="center" vertical="center"/>
    </xf>
    <xf numFmtId="0" fontId="10" fillId="26" borderId="6" xfId="0" applyFont="1" applyFill="1" applyBorder="1" applyAlignment="1">
      <alignment horizontal="center" vertical="center"/>
    </xf>
    <xf numFmtId="0" fontId="10" fillId="27" borderId="6" xfId="0" applyFont="1" applyFill="1" applyBorder="1" applyAlignment="1">
      <alignment horizontal="center" vertical="center"/>
    </xf>
    <xf numFmtId="0" fontId="7" fillId="16" borderId="9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 wrapText="1"/>
    </xf>
    <xf numFmtId="0" fontId="11" fillId="0" borderId="6" xfId="0" applyNumberFormat="1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14" fillId="0" borderId="2" xfId="0" applyFont="1" applyBorder="1"/>
    <xf numFmtId="0" fontId="15" fillId="0" borderId="2" xfId="0" applyFont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0" fontId="17" fillId="22" borderId="2" xfId="0" applyFont="1" applyFill="1" applyBorder="1" applyAlignment="1">
      <alignment horizontal="left" vertical="center" wrapText="1"/>
    </xf>
    <xf numFmtId="0" fontId="19" fillId="22" borderId="2" xfId="0" applyFont="1" applyFill="1" applyBorder="1" applyAlignment="1">
      <alignment horizontal="left" vertical="center"/>
    </xf>
    <xf numFmtId="0" fontId="20" fillId="22" borderId="2" xfId="0" applyFont="1" applyFill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22" fillId="22" borderId="2" xfId="0" applyFont="1" applyFill="1" applyBorder="1"/>
    <xf numFmtId="0" fontId="12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 wrapText="1"/>
    </xf>
    <xf numFmtId="0" fontId="22" fillId="22" borderId="2" xfId="0" applyFont="1" applyFill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22" fillId="22" borderId="5" xfId="0" applyFont="1" applyFill="1" applyBorder="1" applyAlignment="1">
      <alignment horizontal="left" vertical="center"/>
    </xf>
    <xf numFmtId="0" fontId="17" fillId="22" borderId="2" xfId="0" applyFont="1" applyFill="1" applyBorder="1"/>
    <xf numFmtId="0" fontId="26" fillId="22" borderId="6" xfId="0" applyFont="1" applyFill="1" applyBorder="1" applyAlignment="1"/>
    <xf numFmtId="0" fontId="17" fillId="28" borderId="2" xfId="0" applyFont="1" applyFill="1" applyBorder="1"/>
    <xf numFmtId="0" fontId="17" fillId="22" borderId="4" xfId="0" applyFont="1" applyFill="1" applyBorder="1"/>
    <xf numFmtId="0" fontId="14" fillId="0" borderId="6" xfId="0" applyFont="1" applyBorder="1"/>
    <xf numFmtId="0" fontId="17" fillId="22" borderId="6" xfId="0" applyFont="1" applyFill="1" applyBorder="1"/>
    <xf numFmtId="0" fontId="12" fillId="0" borderId="6" xfId="0" applyFont="1" applyBorder="1"/>
    <xf numFmtId="0" fontId="22" fillId="22" borderId="6" xfId="0" applyFont="1" applyFill="1" applyBorder="1"/>
    <xf numFmtId="0" fontId="1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/>
    </xf>
    <xf numFmtId="0" fontId="5" fillId="30" borderId="2" xfId="0" applyFont="1" applyFill="1" applyBorder="1" applyAlignment="1">
      <alignment horizontal="center" vertical="center"/>
    </xf>
    <xf numFmtId="0" fontId="5" fillId="31" borderId="2" xfId="0" applyFont="1" applyFill="1" applyBorder="1" applyAlignment="1">
      <alignment horizontal="center" vertical="center"/>
    </xf>
    <xf numFmtId="0" fontId="5" fillId="32" borderId="2" xfId="0" applyFont="1" applyFill="1" applyBorder="1" applyAlignment="1">
      <alignment horizontal="center" vertical="center"/>
    </xf>
    <xf numFmtId="0" fontId="5" fillId="33" borderId="2" xfId="0" applyFont="1" applyFill="1" applyBorder="1" applyAlignment="1">
      <alignment horizontal="center" vertical="center"/>
    </xf>
    <xf numFmtId="0" fontId="3" fillId="34" borderId="2" xfId="0" applyFont="1" applyFill="1" applyBorder="1" applyAlignment="1">
      <alignment horizontal="center" vertical="center"/>
    </xf>
    <xf numFmtId="0" fontId="0" fillId="16" borderId="0" xfId="0" applyFill="1"/>
    <xf numFmtId="0" fontId="1" fillId="35" borderId="3" xfId="0" applyFont="1" applyFill="1" applyBorder="1" applyAlignment="1">
      <alignment horizontal="center" vertical="center"/>
    </xf>
    <xf numFmtId="0" fontId="2" fillId="36" borderId="2" xfId="0" applyFont="1" applyFill="1" applyBorder="1"/>
    <xf numFmtId="0" fontId="3" fillId="36" borderId="2" xfId="0" applyFont="1" applyFill="1" applyBorder="1" applyAlignment="1">
      <alignment horizontal="center" vertical="center"/>
    </xf>
    <xf numFmtId="0" fontId="3" fillId="37" borderId="2" xfId="0" applyFont="1" applyFill="1" applyBorder="1" applyAlignment="1">
      <alignment horizontal="center" vertical="center"/>
    </xf>
    <xf numFmtId="0" fontId="0" fillId="36" borderId="0" xfId="0" applyFont="1" applyFill="1" applyAlignment="1"/>
    <xf numFmtId="0" fontId="5" fillId="38" borderId="2" xfId="0" applyFont="1" applyFill="1" applyBorder="1" applyAlignment="1">
      <alignment horizontal="center" vertical="center"/>
    </xf>
    <xf numFmtId="0" fontId="5" fillId="39" borderId="2" xfId="0" applyFont="1" applyFill="1" applyBorder="1" applyAlignment="1">
      <alignment horizontal="center" vertical="center"/>
    </xf>
    <xf numFmtId="0" fontId="5" fillId="40" borderId="2" xfId="0" applyFont="1" applyFill="1" applyBorder="1" applyAlignment="1">
      <alignment horizontal="center" vertical="center"/>
    </xf>
    <xf numFmtId="0" fontId="5" fillId="41" borderId="2" xfId="0" applyFont="1" applyFill="1" applyBorder="1" applyAlignment="1">
      <alignment horizontal="center" vertical="center"/>
    </xf>
    <xf numFmtId="0" fontId="5" fillId="42" borderId="2" xfId="0" applyFont="1" applyFill="1" applyBorder="1" applyAlignment="1">
      <alignment horizontal="center" vertical="center"/>
    </xf>
    <xf numFmtId="0" fontId="5" fillId="43" borderId="2" xfId="0" applyFont="1" applyFill="1" applyBorder="1" applyAlignment="1">
      <alignment horizontal="center" vertical="center"/>
    </xf>
    <xf numFmtId="0" fontId="5" fillId="44" borderId="2" xfId="0" applyFont="1" applyFill="1" applyBorder="1" applyAlignment="1">
      <alignment horizontal="center" vertical="center"/>
    </xf>
    <xf numFmtId="0" fontId="5" fillId="45" borderId="2" xfId="0" applyFont="1" applyFill="1" applyBorder="1" applyAlignment="1">
      <alignment horizontal="center" vertical="center"/>
    </xf>
    <xf numFmtId="0" fontId="5" fillId="46" borderId="2" xfId="0" applyFont="1" applyFill="1" applyBorder="1" applyAlignment="1">
      <alignment horizontal="center" vertical="center"/>
    </xf>
    <xf numFmtId="0" fontId="3" fillId="47" borderId="2" xfId="0" applyFont="1" applyFill="1" applyBorder="1" applyAlignment="1">
      <alignment horizontal="center" vertical="center"/>
    </xf>
    <xf numFmtId="0" fontId="0" fillId="36" borderId="2" xfId="0" applyFont="1" applyFill="1" applyBorder="1"/>
    <xf numFmtId="0" fontId="0" fillId="36" borderId="0" xfId="0" applyFill="1"/>
    <xf numFmtId="0" fontId="2" fillId="22" borderId="2" xfId="0" applyFont="1" applyFill="1" applyBorder="1"/>
    <xf numFmtId="0" fontId="3" fillId="48" borderId="6" xfId="0" applyFont="1" applyFill="1" applyBorder="1" applyAlignment="1">
      <alignment horizontal="center" vertical="center"/>
    </xf>
    <xf numFmtId="1" fontId="5" fillId="48" borderId="6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2" fillId="22" borderId="6" xfId="0" applyFont="1" applyFill="1" applyBorder="1"/>
    <xf numFmtId="0" fontId="8" fillId="16" borderId="6" xfId="0" applyFont="1" applyFill="1" applyBorder="1" applyAlignment="1"/>
    <xf numFmtId="0" fontId="9" fillId="16" borderId="6" xfId="0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0" fontId="0" fillId="16" borderId="6" xfId="0" applyFill="1" applyBorder="1"/>
    <xf numFmtId="0" fontId="26" fillId="16" borderId="6" xfId="0" applyFont="1" applyFill="1" applyBorder="1" applyAlignment="1"/>
    <xf numFmtId="0" fontId="7" fillId="16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/>
    <xf numFmtId="0" fontId="9" fillId="0" borderId="0" xfId="0" applyFont="1" applyBorder="1" applyAlignment="1">
      <alignment horizontal="center" vertical="center"/>
    </xf>
    <xf numFmtId="0" fontId="0" fillId="0" borderId="0" xfId="0" applyBorder="1"/>
    <xf numFmtId="0" fontId="7" fillId="16" borderId="6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" fillId="0" borderId="6" xfId="0" applyFont="1" applyBorder="1"/>
    <xf numFmtId="0" fontId="3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8" fillId="0" borderId="10" xfId="0" applyFont="1" applyFill="1" applyBorder="1" applyAlignment="1"/>
    <xf numFmtId="0" fontId="9" fillId="0" borderId="10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0" fillId="23" borderId="10" xfId="0" applyFont="1" applyFill="1" applyBorder="1" applyAlignment="1">
      <alignment horizontal="center" vertical="center"/>
    </xf>
    <xf numFmtId="0" fontId="10" fillId="24" borderId="10" xfId="0" applyFont="1" applyFill="1" applyBorder="1" applyAlignment="1">
      <alignment horizontal="center" vertical="center"/>
    </xf>
    <xf numFmtId="0" fontId="10" fillId="25" borderId="10" xfId="0" applyFont="1" applyFill="1" applyBorder="1" applyAlignment="1">
      <alignment horizontal="center" vertical="center"/>
    </xf>
    <xf numFmtId="0" fontId="10" fillId="26" borderId="10" xfId="0" applyFont="1" applyFill="1" applyBorder="1" applyAlignment="1">
      <alignment horizontal="center" vertical="center"/>
    </xf>
    <xf numFmtId="0" fontId="10" fillId="27" borderId="10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0" fillId="0" borderId="10" xfId="0" applyBorder="1"/>
    <xf numFmtId="0" fontId="3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left" vertical="center"/>
    </xf>
    <xf numFmtId="0" fontId="8" fillId="0" borderId="14" xfId="0" applyFont="1" applyFill="1" applyBorder="1" applyAlignment="1"/>
    <xf numFmtId="0" fontId="9" fillId="0" borderId="14" xfId="0" applyFont="1" applyBorder="1" applyAlignment="1">
      <alignment horizontal="center" vertical="center"/>
    </xf>
    <xf numFmtId="0" fontId="10" fillId="23" borderId="14" xfId="0" applyFont="1" applyFill="1" applyBorder="1" applyAlignment="1">
      <alignment horizontal="center" vertical="center"/>
    </xf>
    <xf numFmtId="0" fontId="10" fillId="24" borderId="14" xfId="0" applyFont="1" applyFill="1" applyBorder="1" applyAlignment="1">
      <alignment horizontal="center" vertical="center"/>
    </xf>
    <xf numFmtId="0" fontId="10" fillId="25" borderId="14" xfId="0" applyFont="1" applyFill="1" applyBorder="1" applyAlignment="1">
      <alignment horizontal="center" vertical="center"/>
    </xf>
    <xf numFmtId="0" fontId="10" fillId="26" borderId="14" xfId="0" applyFont="1" applyFill="1" applyBorder="1" applyAlignment="1">
      <alignment horizontal="center" vertical="center"/>
    </xf>
    <xf numFmtId="0" fontId="10" fillId="27" borderId="14" xfId="0" applyFont="1" applyFill="1" applyBorder="1" applyAlignment="1">
      <alignment horizontal="center" vertical="center"/>
    </xf>
    <xf numFmtId="0" fontId="0" fillId="0" borderId="14" xfId="0" applyBorder="1"/>
    <xf numFmtId="0" fontId="7" fillId="16" borderId="14" xfId="0" applyFont="1" applyFill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/>
    </xf>
    <xf numFmtId="0" fontId="0" fillId="0" borderId="16" xfId="0" applyBorder="1"/>
    <xf numFmtId="0" fontId="12" fillId="2" borderId="17" xfId="0" applyFont="1" applyFill="1" applyBorder="1" applyAlignment="1">
      <alignment horizontal="center" vertical="center"/>
    </xf>
    <xf numFmtId="0" fontId="17" fillId="22" borderId="4" xfId="0" applyFont="1" applyFill="1" applyBorder="1" applyAlignment="1">
      <alignment horizontal="left" vertical="center"/>
    </xf>
    <xf numFmtId="0" fontId="14" fillId="0" borderId="4" xfId="0" applyFont="1" applyBorder="1"/>
    <xf numFmtId="0" fontId="13" fillId="0" borderId="4" xfId="0" applyFont="1" applyBorder="1" applyAlignment="1">
      <alignment horizontal="left" vertical="center"/>
    </xf>
    <xf numFmtId="0" fontId="16" fillId="8" borderId="4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0" fontId="0" fillId="0" borderId="4" xfId="0" applyFont="1" applyBorder="1"/>
    <xf numFmtId="0" fontId="12" fillId="2" borderId="6" xfId="0" applyFont="1" applyFill="1" applyBorder="1" applyAlignment="1">
      <alignment horizontal="center" vertical="center"/>
    </xf>
    <xf numFmtId="0" fontId="17" fillId="22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6" fillId="8" borderId="6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0" fillId="0" borderId="6" xfId="0" applyFont="1" applyBorder="1"/>
    <xf numFmtId="0" fontId="0" fillId="0" borderId="6" xfId="0" applyFont="1" applyBorder="1" applyAlignment="1"/>
    <xf numFmtId="0" fontId="0" fillId="0" borderId="0" xfId="0" applyFont="1" applyBorder="1" applyAlignment="1"/>
    <xf numFmtId="0" fontId="1" fillId="2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6" xfId="0" applyFont="1" applyBorder="1"/>
    <xf numFmtId="0" fontId="5" fillId="8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36" borderId="13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7" borderId="2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0" fillId="3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357"/>
  <sheetViews>
    <sheetView tabSelected="1" topLeftCell="A13" zoomScale="90" zoomScaleNormal="90" workbookViewId="0">
      <selection activeCell="BA29" sqref="BA29"/>
    </sheetView>
  </sheetViews>
  <sheetFormatPr baseColWidth="10" defaultRowHeight="15"/>
  <cols>
    <col min="1" max="1" width="3.85546875" customWidth="1"/>
    <col min="2" max="2" width="25.7109375" customWidth="1"/>
    <col min="3" max="3" width="16.140625" customWidth="1"/>
    <col min="4" max="4" width="6.140625" bestFit="1" customWidth="1"/>
    <col min="5" max="105" width="3.85546875" customWidth="1"/>
  </cols>
  <sheetData>
    <row r="1" spans="1:105" ht="46.5" customHeight="1">
      <c r="A1" s="29" t="s">
        <v>159</v>
      </c>
      <c r="B1" s="29" t="s">
        <v>157</v>
      </c>
      <c r="C1" s="29" t="s">
        <v>160</v>
      </c>
      <c r="D1" s="29" t="s">
        <v>158</v>
      </c>
      <c r="E1" s="27" t="s">
        <v>61</v>
      </c>
      <c r="F1" s="26" t="s">
        <v>62</v>
      </c>
      <c r="G1" s="26" t="s">
        <v>63</v>
      </c>
      <c r="H1" s="26" t="s">
        <v>64</v>
      </c>
      <c r="I1" s="26" t="s">
        <v>65</v>
      </c>
      <c r="J1" s="26" t="s">
        <v>66</v>
      </c>
      <c r="K1" s="26" t="s">
        <v>67</v>
      </c>
      <c r="L1" s="26" t="s">
        <v>68</v>
      </c>
      <c r="M1" s="26" t="s">
        <v>69</v>
      </c>
      <c r="N1" s="26" t="s">
        <v>70</v>
      </c>
      <c r="O1" s="26" t="s">
        <v>71</v>
      </c>
      <c r="P1" s="26" t="s">
        <v>72</v>
      </c>
      <c r="Q1" s="26" t="s">
        <v>73</v>
      </c>
      <c r="R1" s="26" t="s">
        <v>74</v>
      </c>
      <c r="S1" s="26" t="s">
        <v>75</v>
      </c>
      <c r="T1" s="26" t="s">
        <v>76</v>
      </c>
      <c r="U1" s="26" t="s">
        <v>77</v>
      </c>
      <c r="V1" s="26" t="s">
        <v>78</v>
      </c>
      <c r="W1" s="26" t="s">
        <v>79</v>
      </c>
      <c r="X1" s="26" t="s">
        <v>80</v>
      </c>
      <c r="Y1" s="26" t="s">
        <v>81</v>
      </c>
      <c r="Z1" s="26" t="s">
        <v>162</v>
      </c>
      <c r="AA1" s="26" t="s">
        <v>82</v>
      </c>
      <c r="AB1" s="26" t="s">
        <v>83</v>
      </c>
      <c r="AC1" s="26" t="s">
        <v>84</v>
      </c>
      <c r="AD1" s="26" t="s">
        <v>85</v>
      </c>
      <c r="AE1" s="26" t="s">
        <v>86</v>
      </c>
      <c r="AF1" s="26" t="s">
        <v>87</v>
      </c>
      <c r="AG1" s="26" t="s">
        <v>88</v>
      </c>
      <c r="AH1" s="26" t="s">
        <v>89</v>
      </c>
      <c r="AI1" s="26" t="s">
        <v>90</v>
      </c>
      <c r="AJ1" s="26" t="s">
        <v>91</v>
      </c>
      <c r="AK1" s="26" t="s">
        <v>92</v>
      </c>
      <c r="AL1" s="26" t="s">
        <v>93</v>
      </c>
      <c r="AM1" s="26" t="s">
        <v>94</v>
      </c>
      <c r="AN1" s="26" t="s">
        <v>95</v>
      </c>
      <c r="AO1" s="26" t="s">
        <v>96</v>
      </c>
      <c r="AP1" s="26" t="s">
        <v>97</v>
      </c>
      <c r="AQ1" s="26" t="s">
        <v>98</v>
      </c>
      <c r="AR1" s="26" t="s">
        <v>163</v>
      </c>
      <c r="AS1" s="26" t="s">
        <v>99</v>
      </c>
      <c r="AT1" s="26" t="s">
        <v>100</v>
      </c>
      <c r="AU1" s="26" t="s">
        <v>101</v>
      </c>
      <c r="AV1" s="26" t="s">
        <v>102</v>
      </c>
      <c r="AW1" s="26" t="s">
        <v>103</v>
      </c>
      <c r="AX1" s="26" t="s">
        <v>104</v>
      </c>
      <c r="AY1" s="26" t="s">
        <v>105</v>
      </c>
      <c r="AZ1" s="26" t="s">
        <v>106</v>
      </c>
      <c r="BA1" s="26" t="s">
        <v>107</v>
      </c>
      <c r="BB1" s="26" t="s">
        <v>108</v>
      </c>
      <c r="BC1" s="26" t="s">
        <v>109</v>
      </c>
      <c r="BD1" s="26" t="s">
        <v>110</v>
      </c>
      <c r="BE1" s="26" t="s">
        <v>111</v>
      </c>
      <c r="BF1" s="26" t="s">
        <v>164</v>
      </c>
      <c r="BG1" s="26" t="s">
        <v>112</v>
      </c>
      <c r="BH1" s="26" t="s">
        <v>113</v>
      </c>
      <c r="BI1" s="26" t="s">
        <v>114</v>
      </c>
      <c r="BJ1" s="26" t="s">
        <v>115</v>
      </c>
      <c r="BK1" s="26" t="s">
        <v>116</v>
      </c>
      <c r="BL1" s="26" t="s">
        <v>117</v>
      </c>
      <c r="BM1" s="26" t="s">
        <v>118</v>
      </c>
      <c r="BN1" s="26" t="s">
        <v>119</v>
      </c>
      <c r="BO1" s="26" t="s">
        <v>120</v>
      </c>
      <c r="BP1" s="26" t="s">
        <v>165</v>
      </c>
      <c r="BQ1" s="26" t="s">
        <v>121</v>
      </c>
      <c r="BR1" s="26" t="s">
        <v>122</v>
      </c>
      <c r="BS1" s="26" t="s">
        <v>123</v>
      </c>
      <c r="BT1" s="26" t="s">
        <v>124</v>
      </c>
      <c r="BU1" s="26" t="s">
        <v>125</v>
      </c>
      <c r="BV1" s="26" t="s">
        <v>126</v>
      </c>
      <c r="BW1" s="26" t="s">
        <v>127</v>
      </c>
      <c r="BX1" s="26" t="s">
        <v>128</v>
      </c>
      <c r="BY1" s="26" t="s">
        <v>129</v>
      </c>
      <c r="BZ1" s="26" t="s">
        <v>130</v>
      </c>
      <c r="CA1" s="26" t="s">
        <v>131</v>
      </c>
      <c r="CB1" s="26" t="s">
        <v>132</v>
      </c>
      <c r="CC1" s="26" t="s">
        <v>133</v>
      </c>
      <c r="CD1" s="26" t="s">
        <v>134</v>
      </c>
      <c r="CE1" s="26" t="s">
        <v>135</v>
      </c>
      <c r="CF1" s="26" t="s">
        <v>136</v>
      </c>
      <c r="CG1" s="26" t="s">
        <v>137</v>
      </c>
      <c r="CH1" s="26" t="s">
        <v>138</v>
      </c>
      <c r="CI1" s="26" t="s">
        <v>139</v>
      </c>
      <c r="CJ1" s="26" t="s">
        <v>140</v>
      </c>
      <c r="CK1" s="26" t="s">
        <v>141</v>
      </c>
      <c r="CL1" s="26" t="s">
        <v>142</v>
      </c>
      <c r="CM1" s="26" t="s">
        <v>143</v>
      </c>
      <c r="CN1" s="26" t="s">
        <v>144</v>
      </c>
      <c r="CO1" s="26" t="s">
        <v>145</v>
      </c>
      <c r="CP1" s="26" t="s">
        <v>146</v>
      </c>
      <c r="CQ1" s="26" t="s">
        <v>147</v>
      </c>
      <c r="CR1" s="26" t="s">
        <v>148</v>
      </c>
      <c r="CS1" s="26" t="s">
        <v>149</v>
      </c>
      <c r="CT1" s="26" t="s">
        <v>150</v>
      </c>
      <c r="CU1" s="26" t="s">
        <v>151</v>
      </c>
      <c r="CV1" s="26" t="s">
        <v>152</v>
      </c>
      <c r="CW1" s="26" t="s">
        <v>153</v>
      </c>
      <c r="CX1" s="26" t="s">
        <v>154</v>
      </c>
      <c r="CY1" s="26" t="s">
        <v>155</v>
      </c>
      <c r="CZ1" s="26" t="s">
        <v>156</v>
      </c>
      <c r="DA1" s="26"/>
    </row>
    <row r="2" spans="1:105" s="18" customFormat="1" ht="15" customHeight="1">
      <c r="A2" s="1">
        <v>1</v>
      </c>
      <c r="B2" s="28" t="s">
        <v>0</v>
      </c>
      <c r="C2" s="28" t="s">
        <v>161</v>
      </c>
      <c r="D2" s="28" t="s">
        <v>1</v>
      </c>
      <c r="E2" s="3">
        <v>13</v>
      </c>
      <c r="F2" s="3">
        <v>15</v>
      </c>
      <c r="G2" s="3"/>
      <c r="H2" s="3"/>
      <c r="I2" s="3">
        <v>16</v>
      </c>
      <c r="J2" s="3">
        <v>16</v>
      </c>
      <c r="K2" s="3">
        <v>17</v>
      </c>
      <c r="L2" s="3">
        <v>16</v>
      </c>
      <c r="M2" s="3">
        <v>17</v>
      </c>
      <c r="N2" s="3">
        <v>17</v>
      </c>
      <c r="O2" s="3">
        <v>17</v>
      </c>
      <c r="P2" s="3">
        <v>17</v>
      </c>
      <c r="Q2" s="3">
        <v>14</v>
      </c>
      <c r="R2" s="3">
        <v>16</v>
      </c>
      <c r="S2" s="3"/>
      <c r="T2" s="3"/>
      <c r="U2" s="4">
        <v>14</v>
      </c>
      <c r="V2" s="4">
        <v>15</v>
      </c>
      <c r="W2" s="4"/>
      <c r="X2" s="3"/>
      <c r="Y2" s="5">
        <f>ROUND(AVERAGE(E2,I2,M2,Q2,U2),0)</f>
        <v>15</v>
      </c>
      <c r="Z2" s="5">
        <f>ROUND(AVERAGE(F2,J2,N2,R2,V2),0)</f>
        <v>16</v>
      </c>
      <c r="AA2" s="3">
        <v>12</v>
      </c>
      <c r="AB2" s="3">
        <v>13</v>
      </c>
      <c r="AC2" s="3">
        <v>14</v>
      </c>
      <c r="AD2" s="3"/>
      <c r="AE2" s="3">
        <v>15</v>
      </c>
      <c r="AF2" s="3">
        <v>15</v>
      </c>
      <c r="AG2" s="3">
        <v>16</v>
      </c>
      <c r="AH2" s="3"/>
      <c r="AI2" s="3">
        <v>15</v>
      </c>
      <c r="AJ2" s="3">
        <v>14</v>
      </c>
      <c r="AK2" s="3"/>
      <c r="AL2" s="3"/>
      <c r="AM2" s="3">
        <v>14</v>
      </c>
      <c r="AN2" s="3">
        <v>14</v>
      </c>
      <c r="AO2" s="3">
        <v>14</v>
      </c>
      <c r="AP2" s="3"/>
      <c r="AQ2" s="6">
        <f>ROUND(AVERAGE(AA2,AE2,AI2,AM2),0)</f>
        <v>14</v>
      </c>
      <c r="AR2" s="6">
        <f>ROUND(AVERAGE(AB2,AF2,AJ2,AN2),0)</f>
        <v>14</v>
      </c>
      <c r="AS2" s="3">
        <v>13</v>
      </c>
      <c r="AT2" s="3">
        <v>13</v>
      </c>
      <c r="AU2" s="3"/>
      <c r="AV2" s="3"/>
      <c r="AW2" s="3">
        <v>18</v>
      </c>
      <c r="AX2" s="3">
        <v>18</v>
      </c>
      <c r="AY2" s="3"/>
      <c r="AZ2" s="3"/>
      <c r="BA2" s="3">
        <v>16</v>
      </c>
      <c r="BB2" s="3">
        <v>17</v>
      </c>
      <c r="BC2" s="3">
        <v>18</v>
      </c>
      <c r="BD2" s="3">
        <v>18</v>
      </c>
      <c r="BE2" s="7">
        <f>ROUND(AVERAGE(AS2,AW2,BA2),0)</f>
        <v>16</v>
      </c>
      <c r="BF2" s="7">
        <f>ROUND(AVERAGE(AT2,AX2,BB2),0)</f>
        <v>16</v>
      </c>
      <c r="BG2" s="3">
        <v>17</v>
      </c>
      <c r="BH2" s="3">
        <v>18</v>
      </c>
      <c r="BI2" s="3">
        <v>16</v>
      </c>
      <c r="BJ2" s="3"/>
      <c r="BK2" s="3">
        <v>17</v>
      </c>
      <c r="BL2" s="3">
        <v>18</v>
      </c>
      <c r="BM2" s="3">
        <v>16</v>
      </c>
      <c r="BN2" s="3"/>
      <c r="BO2" s="8">
        <f>ROUND(AVERAGE(BG2,BK2),0)</f>
        <v>17</v>
      </c>
      <c r="BP2" s="8">
        <f>ROUND(AVERAGE(BH2,BL2),0)</f>
        <v>18</v>
      </c>
      <c r="BQ2" s="9">
        <f t="shared" ref="BQ2:BQ9" si="0">ROUND(AVERAGE(BH2:BO2),0)</f>
        <v>17</v>
      </c>
      <c r="BR2" s="9">
        <f t="shared" ref="BR2:BR9" si="1">ROUND(AVERAGE(BI2:BQ2),0)</f>
        <v>17</v>
      </c>
      <c r="BS2" s="3"/>
      <c r="BT2" s="3"/>
      <c r="BU2" s="10">
        <f>ROUND(AVERAGE(BQ2:BT2),0)</f>
        <v>17</v>
      </c>
      <c r="BV2" s="9">
        <f t="shared" ref="BV2:BW6" si="2">ROUND(AVERAGE(BM2:BU2),0)</f>
        <v>17</v>
      </c>
      <c r="BW2" s="9">
        <f t="shared" si="2"/>
        <v>17</v>
      </c>
      <c r="BX2" s="3"/>
      <c r="BY2" s="3"/>
      <c r="BZ2" s="11">
        <f t="shared" ref="BZ2:BZ60" si="3">ROUND(AVERAGE(BV2:BY2),0)</f>
        <v>17</v>
      </c>
      <c r="CA2" s="9">
        <f t="shared" ref="CA2:CB6" si="4">ROUND(AVERAGE(BS2:BZ2),0)</f>
        <v>17</v>
      </c>
      <c r="CB2" s="9">
        <f t="shared" si="4"/>
        <v>17</v>
      </c>
      <c r="CC2" s="9"/>
      <c r="CD2" s="9"/>
      <c r="CE2" s="12">
        <f t="shared" ref="CE2:CE60" si="5">ROUND(AVERAGE(CA2:CD2),0)</f>
        <v>17</v>
      </c>
      <c r="CF2" s="3">
        <v>18</v>
      </c>
      <c r="CG2" s="3">
        <v>17</v>
      </c>
      <c r="CH2" s="3"/>
      <c r="CI2" s="3"/>
      <c r="CJ2" s="13">
        <f t="shared" ref="CJ2:CJ60" si="6">ROUND(AVERAGE(CF2:CI2),0)</f>
        <v>18</v>
      </c>
      <c r="CK2" s="9">
        <v>18</v>
      </c>
      <c r="CL2" s="9">
        <v>18</v>
      </c>
      <c r="CM2" s="9"/>
      <c r="CN2" s="9"/>
      <c r="CO2" s="14">
        <v>18</v>
      </c>
      <c r="CP2" s="3">
        <v>18</v>
      </c>
      <c r="CQ2" s="3">
        <v>18</v>
      </c>
      <c r="CR2" s="3"/>
      <c r="CS2" s="3"/>
      <c r="CT2" s="15">
        <f t="shared" ref="CT2:CT60" si="7">ROUND(AVERAGE(CP2:CS2),0)</f>
        <v>18</v>
      </c>
      <c r="CU2" s="16">
        <f t="shared" ref="CU2:CU33" si="8">+E2+I2+M2+Q2+U2+AA2+AE2+AI2+AM2+AS2+AW2+BA2+BG2+BK2+BQ2+BV2+CA2+CF2+CK2</f>
        <v>298</v>
      </c>
      <c r="CV2" s="16">
        <f t="shared" ref="CV2:CV33" si="9">+F2+J2+N2+R2+V2+AB2+AF2+AJ2+AN2+AT2+AX2+BB2+BH2+BL2+BR2+BW2+CB2+CG2+CL2</f>
        <v>305</v>
      </c>
      <c r="CW2" s="16"/>
      <c r="CX2" s="15"/>
      <c r="CY2" s="16">
        <f t="shared" ref="CY2" si="10">+CU4+CV4+CW4+CX2</f>
        <v>547</v>
      </c>
      <c r="CZ2" s="17"/>
    </row>
    <row r="3" spans="1:105" s="18" customFormat="1" ht="15" customHeight="1">
      <c r="A3" s="19">
        <f t="shared" ref="A3:A59" si="11">A2+1</f>
        <v>2</v>
      </c>
      <c r="B3" s="2" t="s">
        <v>2</v>
      </c>
      <c r="C3" s="28" t="s">
        <v>161</v>
      </c>
      <c r="D3" s="2" t="s">
        <v>1</v>
      </c>
      <c r="E3" s="3">
        <v>15</v>
      </c>
      <c r="F3" s="3">
        <v>16</v>
      </c>
      <c r="G3" s="3"/>
      <c r="H3" s="3"/>
      <c r="I3" s="3">
        <v>17</v>
      </c>
      <c r="J3" s="3">
        <v>15</v>
      </c>
      <c r="K3" s="3">
        <v>16</v>
      </c>
      <c r="L3" s="3">
        <v>15</v>
      </c>
      <c r="M3" s="3">
        <v>17</v>
      </c>
      <c r="N3" s="3">
        <v>18</v>
      </c>
      <c r="O3" s="3">
        <v>18</v>
      </c>
      <c r="P3" s="3">
        <v>18</v>
      </c>
      <c r="Q3" s="3">
        <v>16</v>
      </c>
      <c r="R3" s="3">
        <v>17</v>
      </c>
      <c r="S3" s="3"/>
      <c r="T3" s="3"/>
      <c r="U3" s="4">
        <v>14</v>
      </c>
      <c r="V3" s="4">
        <v>15</v>
      </c>
      <c r="W3" s="4"/>
      <c r="X3" s="3"/>
      <c r="Y3" s="5">
        <f t="shared" ref="Y3:Y60" si="12">ROUND(AVERAGE(E3,I3,M3,Q3,U3),0)</f>
        <v>16</v>
      </c>
      <c r="Z3" s="5">
        <f t="shared" ref="Z3:Z60" si="13">ROUND(AVERAGE(F3,J3,N3,R3,V3),0)</f>
        <v>16</v>
      </c>
      <c r="AA3" s="3">
        <v>16</v>
      </c>
      <c r="AB3" s="3">
        <v>13</v>
      </c>
      <c r="AC3" s="3">
        <v>16</v>
      </c>
      <c r="AD3" s="3"/>
      <c r="AE3" s="3">
        <v>14</v>
      </c>
      <c r="AF3" s="3">
        <v>14</v>
      </c>
      <c r="AG3" s="3">
        <v>18</v>
      </c>
      <c r="AH3" s="3"/>
      <c r="AI3" s="3">
        <v>16</v>
      </c>
      <c r="AJ3" s="3">
        <v>17</v>
      </c>
      <c r="AK3" s="3"/>
      <c r="AL3" s="3"/>
      <c r="AM3" s="3">
        <v>16</v>
      </c>
      <c r="AN3" s="3">
        <v>15</v>
      </c>
      <c r="AO3" s="3">
        <v>15</v>
      </c>
      <c r="AP3" s="3"/>
      <c r="AQ3" s="6">
        <f t="shared" ref="AQ3:AQ65" si="14">ROUND(AVERAGE(AA3,AE3,AI3,AM3),0)</f>
        <v>16</v>
      </c>
      <c r="AR3" s="6">
        <f t="shared" ref="AR3:AR34" si="15">ROUND(AVERAGE(AB3,AF3,AJ3,AN3),0)</f>
        <v>15</v>
      </c>
      <c r="AS3" s="3">
        <v>15</v>
      </c>
      <c r="AT3" s="3">
        <v>16</v>
      </c>
      <c r="AU3" s="3"/>
      <c r="AV3" s="3"/>
      <c r="AW3" s="3">
        <v>15</v>
      </c>
      <c r="AX3" s="3">
        <v>15</v>
      </c>
      <c r="AY3" s="3"/>
      <c r="AZ3" s="3"/>
      <c r="BA3" s="3">
        <v>17</v>
      </c>
      <c r="BB3" s="3">
        <v>17</v>
      </c>
      <c r="BC3" s="3">
        <v>18</v>
      </c>
      <c r="BD3" s="3">
        <v>18</v>
      </c>
      <c r="BE3" s="7">
        <f t="shared" ref="BE3:BE60" si="16">ROUND(AVERAGE(AS3,AW3,BA3),0)</f>
        <v>16</v>
      </c>
      <c r="BF3" s="7">
        <f t="shared" ref="BF3:BF34" si="17">ROUND(AVERAGE(AT3,AX3,BB3),0)</f>
        <v>16</v>
      </c>
      <c r="BG3" s="3">
        <v>15</v>
      </c>
      <c r="BH3" s="3">
        <v>15</v>
      </c>
      <c r="BI3" s="3">
        <v>16</v>
      </c>
      <c r="BJ3" s="3"/>
      <c r="BK3" s="3">
        <v>14</v>
      </c>
      <c r="BL3" s="3">
        <v>15</v>
      </c>
      <c r="BM3" s="3">
        <v>16</v>
      </c>
      <c r="BN3" s="3"/>
      <c r="BO3" s="8">
        <f t="shared" ref="BO3:BO60" si="18">ROUND(AVERAGE(BG3,BK3),0)</f>
        <v>15</v>
      </c>
      <c r="BP3" s="8">
        <f t="shared" ref="BP3:BP60" si="19">ROUND(AVERAGE(BH3,BL3),0)</f>
        <v>15</v>
      </c>
      <c r="BQ3" s="9">
        <f t="shared" si="0"/>
        <v>15</v>
      </c>
      <c r="BR3" s="9">
        <f t="shared" si="1"/>
        <v>15</v>
      </c>
      <c r="BS3" s="3"/>
      <c r="BT3" s="3"/>
      <c r="BU3" s="10">
        <f t="shared" ref="BU3:BU60" si="20">ROUND(AVERAGE(BQ3:BT3),0)</f>
        <v>15</v>
      </c>
      <c r="BV3" s="9">
        <f t="shared" si="2"/>
        <v>15</v>
      </c>
      <c r="BW3" s="9">
        <f t="shared" si="2"/>
        <v>15</v>
      </c>
      <c r="BX3" s="3"/>
      <c r="BY3" s="3"/>
      <c r="BZ3" s="11">
        <f t="shared" si="3"/>
        <v>15</v>
      </c>
      <c r="CA3" s="9">
        <f t="shared" si="4"/>
        <v>15</v>
      </c>
      <c r="CB3" s="9">
        <f t="shared" si="4"/>
        <v>15</v>
      </c>
      <c r="CC3" s="9"/>
      <c r="CD3" s="9"/>
      <c r="CE3" s="12">
        <f t="shared" si="5"/>
        <v>15</v>
      </c>
      <c r="CF3" s="3">
        <v>15</v>
      </c>
      <c r="CG3" s="3">
        <v>16</v>
      </c>
      <c r="CH3" s="3"/>
      <c r="CI3" s="3"/>
      <c r="CJ3" s="13">
        <f t="shared" si="6"/>
        <v>16</v>
      </c>
      <c r="CK3" s="9">
        <v>15</v>
      </c>
      <c r="CL3" s="9">
        <v>15</v>
      </c>
      <c r="CM3" s="9"/>
      <c r="CN3" s="9"/>
      <c r="CO3" s="14">
        <v>15</v>
      </c>
      <c r="CP3" s="3">
        <v>15</v>
      </c>
      <c r="CQ3" s="3">
        <v>15</v>
      </c>
      <c r="CR3" s="3"/>
      <c r="CS3" s="3"/>
      <c r="CT3" s="15">
        <f t="shared" si="7"/>
        <v>15</v>
      </c>
      <c r="CU3" s="16">
        <f t="shared" si="8"/>
        <v>292</v>
      </c>
      <c r="CV3" s="16">
        <f t="shared" si="9"/>
        <v>294</v>
      </c>
      <c r="CW3" s="16"/>
      <c r="CX3" s="15"/>
      <c r="CY3" s="16">
        <f t="shared" ref="CY3:CY57" si="21">+CU5+CV5+CW5+CX3</f>
        <v>583</v>
      </c>
      <c r="CZ3" s="17"/>
    </row>
    <row r="4" spans="1:105" s="40" customFormat="1" ht="15" customHeight="1">
      <c r="A4" s="19">
        <f t="shared" si="11"/>
        <v>3</v>
      </c>
      <c r="B4" s="83" t="s">
        <v>3</v>
      </c>
      <c r="C4" s="28" t="s">
        <v>161</v>
      </c>
      <c r="D4" s="30" t="s">
        <v>1</v>
      </c>
      <c r="E4" s="31">
        <v>16</v>
      </c>
      <c r="F4" s="31">
        <v>16</v>
      </c>
      <c r="G4" s="31"/>
      <c r="H4" s="31"/>
      <c r="I4" s="31">
        <v>16</v>
      </c>
      <c r="J4" s="31">
        <v>17</v>
      </c>
      <c r="K4" s="31">
        <v>18</v>
      </c>
      <c r="L4" s="31"/>
      <c r="M4" s="31">
        <v>17</v>
      </c>
      <c r="N4" s="31">
        <v>17</v>
      </c>
      <c r="O4" s="31">
        <v>17</v>
      </c>
      <c r="P4" s="31"/>
      <c r="Q4" s="31">
        <v>14</v>
      </c>
      <c r="R4" s="31">
        <v>16</v>
      </c>
      <c r="S4" s="31"/>
      <c r="T4" s="31"/>
      <c r="U4" s="32">
        <v>16</v>
      </c>
      <c r="V4" s="32">
        <v>16</v>
      </c>
      <c r="W4" s="32"/>
      <c r="X4" s="31"/>
      <c r="Y4" s="5">
        <f t="shared" si="12"/>
        <v>16</v>
      </c>
      <c r="Z4" s="5">
        <f t="shared" si="13"/>
        <v>16</v>
      </c>
      <c r="AA4" s="31">
        <v>14</v>
      </c>
      <c r="AB4" s="31">
        <v>14</v>
      </c>
      <c r="AC4" s="31">
        <v>12</v>
      </c>
      <c r="AD4" s="31"/>
      <c r="AE4" s="31">
        <v>15</v>
      </c>
      <c r="AF4" s="31">
        <v>15</v>
      </c>
      <c r="AG4" s="31">
        <v>12</v>
      </c>
      <c r="AH4" s="31"/>
      <c r="AI4" s="31">
        <v>15</v>
      </c>
      <c r="AJ4" s="31">
        <v>14</v>
      </c>
      <c r="AK4" s="31"/>
      <c r="AL4" s="31"/>
      <c r="AM4" s="31">
        <v>14</v>
      </c>
      <c r="AN4" s="31">
        <v>13</v>
      </c>
      <c r="AO4" s="31">
        <v>11</v>
      </c>
      <c r="AP4" s="31"/>
      <c r="AQ4" s="6">
        <f t="shared" si="14"/>
        <v>15</v>
      </c>
      <c r="AR4" s="6">
        <f t="shared" si="15"/>
        <v>14</v>
      </c>
      <c r="AS4" s="31">
        <v>12</v>
      </c>
      <c r="AT4" s="31">
        <v>14</v>
      </c>
      <c r="AU4" s="31"/>
      <c r="AV4" s="31"/>
      <c r="AW4" s="31">
        <v>13</v>
      </c>
      <c r="AX4" s="31">
        <v>13</v>
      </c>
      <c r="AY4" s="31"/>
      <c r="AZ4" s="31"/>
      <c r="BA4" s="31">
        <v>16</v>
      </c>
      <c r="BB4" s="31">
        <v>17</v>
      </c>
      <c r="BC4" s="31">
        <v>18</v>
      </c>
      <c r="BD4" s="31"/>
      <c r="BE4" s="7">
        <f t="shared" si="16"/>
        <v>14</v>
      </c>
      <c r="BF4" s="7">
        <f t="shared" si="17"/>
        <v>15</v>
      </c>
      <c r="BG4" s="31">
        <v>14</v>
      </c>
      <c r="BH4" s="31">
        <v>13</v>
      </c>
      <c r="BI4" s="31">
        <v>12</v>
      </c>
      <c r="BJ4" s="31"/>
      <c r="BK4" s="31">
        <v>14</v>
      </c>
      <c r="BL4" s="31">
        <v>13</v>
      </c>
      <c r="BM4" s="31">
        <v>12</v>
      </c>
      <c r="BN4" s="31"/>
      <c r="BO4" s="8">
        <f t="shared" si="18"/>
        <v>14</v>
      </c>
      <c r="BP4" s="8">
        <f t="shared" si="19"/>
        <v>13</v>
      </c>
      <c r="BQ4" s="33">
        <f t="shared" si="0"/>
        <v>13</v>
      </c>
      <c r="BR4" s="33">
        <f t="shared" si="1"/>
        <v>13</v>
      </c>
      <c r="BS4" s="31"/>
      <c r="BT4" s="31"/>
      <c r="BU4" s="10">
        <f t="shared" si="20"/>
        <v>13</v>
      </c>
      <c r="BV4" s="33">
        <f t="shared" si="2"/>
        <v>13</v>
      </c>
      <c r="BW4" s="33">
        <f t="shared" si="2"/>
        <v>13</v>
      </c>
      <c r="BX4" s="31"/>
      <c r="BY4" s="31"/>
      <c r="BZ4" s="34">
        <f t="shared" si="3"/>
        <v>13</v>
      </c>
      <c r="CA4" s="33">
        <f t="shared" si="4"/>
        <v>13</v>
      </c>
      <c r="CB4" s="33">
        <f t="shared" si="4"/>
        <v>13</v>
      </c>
      <c r="CC4" s="33"/>
      <c r="CD4" s="33"/>
      <c r="CE4" s="35">
        <f t="shared" si="5"/>
        <v>13</v>
      </c>
      <c r="CF4" s="31">
        <v>15</v>
      </c>
      <c r="CG4" s="31">
        <v>14</v>
      </c>
      <c r="CH4" s="31"/>
      <c r="CI4" s="31"/>
      <c r="CJ4" s="36">
        <f t="shared" si="6"/>
        <v>15</v>
      </c>
      <c r="CK4" s="33">
        <v>13</v>
      </c>
      <c r="CL4" s="33">
        <v>13</v>
      </c>
      <c r="CM4" s="33"/>
      <c r="CN4" s="33"/>
      <c r="CO4" s="37">
        <v>13</v>
      </c>
      <c r="CP4" s="31">
        <v>15</v>
      </c>
      <c r="CQ4" s="31">
        <v>15</v>
      </c>
      <c r="CR4" s="31"/>
      <c r="CS4" s="31"/>
      <c r="CT4" s="15">
        <f t="shared" si="7"/>
        <v>15</v>
      </c>
      <c r="CU4" s="16">
        <f t="shared" si="8"/>
        <v>273</v>
      </c>
      <c r="CV4" s="16">
        <f t="shared" si="9"/>
        <v>274</v>
      </c>
      <c r="CW4" s="16"/>
      <c r="CX4" s="15"/>
      <c r="CY4" s="16">
        <f t="shared" si="21"/>
        <v>439</v>
      </c>
      <c r="CZ4" s="38"/>
      <c r="DA4" s="39"/>
    </row>
    <row r="5" spans="1:105" s="18" customFormat="1" ht="15" customHeight="1">
      <c r="A5" s="19">
        <f t="shared" si="11"/>
        <v>4</v>
      </c>
      <c r="B5" s="2" t="s">
        <v>4</v>
      </c>
      <c r="C5" s="28" t="s">
        <v>161</v>
      </c>
      <c r="D5" s="2" t="s">
        <v>5</v>
      </c>
      <c r="E5" s="3">
        <v>15</v>
      </c>
      <c r="F5" s="3">
        <v>16</v>
      </c>
      <c r="G5" s="3"/>
      <c r="H5" s="3"/>
      <c r="I5" s="3">
        <v>17</v>
      </c>
      <c r="J5" s="3">
        <v>17</v>
      </c>
      <c r="K5" s="3">
        <v>18</v>
      </c>
      <c r="L5" s="3">
        <v>17</v>
      </c>
      <c r="M5" s="3">
        <v>17</v>
      </c>
      <c r="N5" s="3">
        <v>18</v>
      </c>
      <c r="O5" s="3">
        <v>18</v>
      </c>
      <c r="P5" s="3">
        <v>18</v>
      </c>
      <c r="Q5" s="3">
        <v>17</v>
      </c>
      <c r="R5" s="3">
        <v>17</v>
      </c>
      <c r="S5" s="3"/>
      <c r="T5" s="3"/>
      <c r="U5" s="4">
        <v>16</v>
      </c>
      <c r="V5" s="4">
        <v>16</v>
      </c>
      <c r="W5" s="4"/>
      <c r="X5" s="3"/>
      <c r="Y5" s="5">
        <f t="shared" si="12"/>
        <v>16</v>
      </c>
      <c r="Z5" s="5">
        <f t="shared" si="13"/>
        <v>17</v>
      </c>
      <c r="AA5" s="3">
        <v>16</v>
      </c>
      <c r="AB5" s="3">
        <v>15</v>
      </c>
      <c r="AC5" s="3">
        <v>15</v>
      </c>
      <c r="AD5" s="3"/>
      <c r="AE5" s="3">
        <v>19</v>
      </c>
      <c r="AF5" s="3">
        <v>16</v>
      </c>
      <c r="AG5" s="3">
        <v>11</v>
      </c>
      <c r="AH5" s="3"/>
      <c r="AI5" s="3">
        <v>16</v>
      </c>
      <c r="AJ5" s="3">
        <v>16</v>
      </c>
      <c r="AK5" s="3"/>
      <c r="AL5" s="3"/>
      <c r="AM5" s="3">
        <v>18</v>
      </c>
      <c r="AN5" s="3">
        <v>16</v>
      </c>
      <c r="AO5" s="3">
        <v>8</v>
      </c>
      <c r="AP5" s="3"/>
      <c r="AQ5" s="6">
        <f t="shared" si="14"/>
        <v>17</v>
      </c>
      <c r="AR5" s="6">
        <f t="shared" si="15"/>
        <v>16</v>
      </c>
      <c r="AS5" s="3">
        <v>15</v>
      </c>
      <c r="AT5" s="3">
        <v>16</v>
      </c>
      <c r="AU5" s="3"/>
      <c r="AV5" s="3"/>
      <c r="AW5" s="3">
        <v>13</v>
      </c>
      <c r="AX5" s="3">
        <v>13</v>
      </c>
      <c r="AY5" s="3"/>
      <c r="AZ5" s="3"/>
      <c r="BA5" s="3">
        <v>17</v>
      </c>
      <c r="BB5" s="3">
        <v>17</v>
      </c>
      <c r="BC5" s="3">
        <v>18</v>
      </c>
      <c r="BD5" s="3">
        <v>18</v>
      </c>
      <c r="BE5" s="7">
        <f t="shared" si="16"/>
        <v>15</v>
      </c>
      <c r="BF5" s="7">
        <f t="shared" si="17"/>
        <v>15</v>
      </c>
      <c r="BG5" s="3">
        <v>14</v>
      </c>
      <c r="BH5" s="3">
        <v>13</v>
      </c>
      <c r="BI5" s="3">
        <v>16</v>
      </c>
      <c r="BJ5" s="3"/>
      <c r="BK5" s="3">
        <v>14</v>
      </c>
      <c r="BL5" s="3">
        <v>13</v>
      </c>
      <c r="BM5" s="3">
        <v>14</v>
      </c>
      <c r="BN5" s="3"/>
      <c r="BO5" s="8">
        <f t="shared" si="18"/>
        <v>14</v>
      </c>
      <c r="BP5" s="8">
        <f t="shared" si="19"/>
        <v>13</v>
      </c>
      <c r="BQ5" s="9">
        <f t="shared" si="0"/>
        <v>14</v>
      </c>
      <c r="BR5" s="9">
        <f t="shared" si="1"/>
        <v>14</v>
      </c>
      <c r="BS5" s="3"/>
      <c r="BT5" s="3"/>
      <c r="BU5" s="10">
        <f t="shared" si="20"/>
        <v>14</v>
      </c>
      <c r="BV5" s="9">
        <f t="shared" si="2"/>
        <v>14</v>
      </c>
      <c r="BW5" s="9">
        <f t="shared" si="2"/>
        <v>14</v>
      </c>
      <c r="BX5" s="3"/>
      <c r="BY5" s="3"/>
      <c r="BZ5" s="11">
        <f t="shared" si="3"/>
        <v>14</v>
      </c>
      <c r="CA5" s="9">
        <f t="shared" si="4"/>
        <v>14</v>
      </c>
      <c r="CB5" s="9">
        <f t="shared" si="4"/>
        <v>14</v>
      </c>
      <c r="CC5" s="9"/>
      <c r="CD5" s="9"/>
      <c r="CE5" s="12">
        <f t="shared" si="5"/>
        <v>14</v>
      </c>
      <c r="CF5" s="3">
        <v>15</v>
      </c>
      <c r="CG5" s="3">
        <v>15</v>
      </c>
      <c r="CH5" s="3"/>
      <c r="CI5" s="3"/>
      <c r="CJ5" s="13">
        <f t="shared" si="6"/>
        <v>15</v>
      </c>
      <c r="CK5" s="9">
        <v>13</v>
      </c>
      <c r="CL5" s="9">
        <v>13</v>
      </c>
      <c r="CM5" s="9"/>
      <c r="CN5" s="9"/>
      <c r="CO5" s="14">
        <v>13</v>
      </c>
      <c r="CP5" s="3">
        <v>15</v>
      </c>
      <c r="CQ5" s="3">
        <v>15</v>
      </c>
      <c r="CR5" s="3"/>
      <c r="CS5" s="3"/>
      <c r="CT5" s="15">
        <f t="shared" si="7"/>
        <v>15</v>
      </c>
      <c r="CU5" s="16">
        <f t="shared" si="8"/>
        <v>294</v>
      </c>
      <c r="CV5" s="16">
        <f t="shared" si="9"/>
        <v>289</v>
      </c>
      <c r="CW5" s="16"/>
      <c r="CX5" s="15"/>
      <c r="CY5" s="16">
        <f t="shared" si="21"/>
        <v>659</v>
      </c>
      <c r="CZ5" s="17"/>
    </row>
    <row r="6" spans="1:105" s="18" customFormat="1" ht="15" customHeight="1">
      <c r="A6" s="19">
        <f t="shared" si="11"/>
        <v>5</v>
      </c>
      <c r="B6" s="85" t="s">
        <v>6</v>
      </c>
      <c r="C6" s="28" t="s">
        <v>161</v>
      </c>
      <c r="D6" s="20" t="s">
        <v>5</v>
      </c>
      <c r="E6" s="21">
        <v>14</v>
      </c>
      <c r="F6" s="21">
        <v>16</v>
      </c>
      <c r="G6" s="21"/>
      <c r="H6" s="21"/>
      <c r="I6" s="21">
        <v>16</v>
      </c>
      <c r="J6" s="21">
        <v>16</v>
      </c>
      <c r="K6" s="21">
        <v>17</v>
      </c>
      <c r="L6" s="21">
        <v>16</v>
      </c>
      <c r="M6" s="21">
        <v>16</v>
      </c>
      <c r="N6" s="21">
        <v>17</v>
      </c>
      <c r="O6" s="21">
        <v>17</v>
      </c>
      <c r="P6" s="21">
        <v>17</v>
      </c>
      <c r="Q6" s="21">
        <v>14</v>
      </c>
      <c r="R6" s="21">
        <v>16</v>
      </c>
      <c r="S6" s="21"/>
      <c r="T6" s="21"/>
      <c r="U6" s="22">
        <v>16</v>
      </c>
      <c r="V6" s="22">
        <v>16</v>
      </c>
      <c r="W6" s="22"/>
      <c r="X6" s="21"/>
      <c r="Y6" s="5">
        <f t="shared" si="12"/>
        <v>15</v>
      </c>
      <c r="Z6" s="5">
        <f t="shared" si="13"/>
        <v>16</v>
      </c>
      <c r="AA6" s="21">
        <v>13</v>
      </c>
      <c r="AB6" s="21">
        <v>13</v>
      </c>
      <c r="AC6" s="21">
        <v>14</v>
      </c>
      <c r="AD6" s="21"/>
      <c r="AE6" s="21">
        <v>14</v>
      </c>
      <c r="AF6" s="21">
        <v>14</v>
      </c>
      <c r="AG6" s="21">
        <v>11</v>
      </c>
      <c r="AH6" s="21"/>
      <c r="AI6" s="21">
        <v>14</v>
      </c>
      <c r="AJ6" s="21">
        <v>14</v>
      </c>
      <c r="AK6" s="21"/>
      <c r="AL6" s="21"/>
      <c r="AM6" s="21">
        <v>14</v>
      </c>
      <c r="AN6" s="21">
        <v>14</v>
      </c>
      <c r="AO6" s="21">
        <v>8</v>
      </c>
      <c r="AP6" s="21"/>
      <c r="AQ6" s="6">
        <f t="shared" si="14"/>
        <v>14</v>
      </c>
      <c r="AR6" s="6">
        <f t="shared" si="15"/>
        <v>14</v>
      </c>
      <c r="AS6" s="21"/>
      <c r="AT6" s="21"/>
      <c r="AU6" s="21"/>
      <c r="AV6" s="21"/>
      <c r="AW6" s="21"/>
      <c r="AX6" s="21"/>
      <c r="AY6" s="21"/>
      <c r="AZ6" s="21"/>
      <c r="BA6" s="21">
        <v>16</v>
      </c>
      <c r="BB6" s="21">
        <v>16</v>
      </c>
      <c r="BC6" s="21">
        <v>17</v>
      </c>
      <c r="BD6" s="21">
        <v>17</v>
      </c>
      <c r="BE6" s="7">
        <f t="shared" si="16"/>
        <v>16</v>
      </c>
      <c r="BF6" s="7">
        <f t="shared" si="17"/>
        <v>16</v>
      </c>
      <c r="BG6" s="21">
        <v>14</v>
      </c>
      <c r="BH6" s="21">
        <v>14</v>
      </c>
      <c r="BI6" s="21">
        <v>14</v>
      </c>
      <c r="BJ6" s="21"/>
      <c r="BK6" s="21">
        <v>14</v>
      </c>
      <c r="BL6" s="21">
        <v>14</v>
      </c>
      <c r="BM6" s="21">
        <v>14</v>
      </c>
      <c r="BN6" s="21"/>
      <c r="BO6" s="8">
        <f t="shared" si="18"/>
        <v>14</v>
      </c>
      <c r="BP6" s="8">
        <f t="shared" si="19"/>
        <v>14</v>
      </c>
      <c r="BQ6" s="21">
        <f t="shared" si="0"/>
        <v>14</v>
      </c>
      <c r="BR6" s="21">
        <f t="shared" si="1"/>
        <v>14</v>
      </c>
      <c r="BS6" s="21"/>
      <c r="BT6" s="21"/>
      <c r="BU6" s="10">
        <f t="shared" si="20"/>
        <v>14</v>
      </c>
      <c r="BV6" s="21">
        <f t="shared" si="2"/>
        <v>14</v>
      </c>
      <c r="BW6" s="21">
        <f t="shared" si="2"/>
        <v>14</v>
      </c>
      <c r="BX6" s="21"/>
      <c r="BY6" s="21"/>
      <c r="BZ6" s="23">
        <f t="shared" si="3"/>
        <v>14</v>
      </c>
      <c r="CA6" s="21">
        <f t="shared" si="4"/>
        <v>14</v>
      </c>
      <c r="CB6" s="21">
        <f t="shared" si="4"/>
        <v>14</v>
      </c>
      <c r="CC6" s="21"/>
      <c r="CD6" s="21"/>
      <c r="CE6" s="23">
        <f t="shared" si="5"/>
        <v>14</v>
      </c>
      <c r="CF6" s="21"/>
      <c r="CG6" s="21"/>
      <c r="CH6" s="21"/>
      <c r="CI6" s="21"/>
      <c r="CJ6" s="23" t="e">
        <f t="shared" si="6"/>
        <v>#DIV/0!</v>
      </c>
      <c r="CK6" s="21"/>
      <c r="CL6" s="21"/>
      <c r="CM6" s="21"/>
      <c r="CN6" s="21"/>
      <c r="CO6" s="23" t="e">
        <f t="shared" ref="CO6:CO60" si="22">ROUND(AVERAGE(CK6:CN6),0)</f>
        <v>#DIV/0!</v>
      </c>
      <c r="CP6" s="21"/>
      <c r="CQ6" s="21"/>
      <c r="CR6" s="21"/>
      <c r="CS6" s="21"/>
      <c r="CT6" s="15" t="e">
        <f t="shared" si="7"/>
        <v>#DIV/0!</v>
      </c>
      <c r="CU6" s="16">
        <f t="shared" si="8"/>
        <v>217</v>
      </c>
      <c r="CV6" s="16">
        <f t="shared" si="9"/>
        <v>222</v>
      </c>
      <c r="CW6" s="16"/>
      <c r="CX6" s="15"/>
      <c r="CY6" s="16">
        <f t="shared" si="21"/>
        <v>559</v>
      </c>
      <c r="CZ6" s="17"/>
    </row>
    <row r="7" spans="1:105" s="18" customFormat="1" ht="15" customHeight="1">
      <c r="A7" s="19">
        <f t="shared" si="11"/>
        <v>6</v>
      </c>
      <c r="B7" s="2" t="s">
        <v>7</v>
      </c>
      <c r="C7" s="28" t="s">
        <v>161</v>
      </c>
      <c r="D7" s="2" t="s">
        <v>5</v>
      </c>
      <c r="E7" s="3">
        <v>18</v>
      </c>
      <c r="F7" s="3">
        <v>18</v>
      </c>
      <c r="G7" s="3"/>
      <c r="H7" s="3"/>
      <c r="I7" s="3">
        <v>18</v>
      </c>
      <c r="J7" s="3">
        <v>18</v>
      </c>
      <c r="K7" s="3">
        <v>18</v>
      </c>
      <c r="L7" s="3">
        <v>18</v>
      </c>
      <c r="M7" s="3">
        <v>17</v>
      </c>
      <c r="N7" s="3">
        <v>18</v>
      </c>
      <c r="O7" s="3">
        <v>18</v>
      </c>
      <c r="P7" s="3">
        <v>18</v>
      </c>
      <c r="Q7" s="3">
        <v>18</v>
      </c>
      <c r="R7" s="3">
        <v>18</v>
      </c>
      <c r="S7" s="3"/>
      <c r="T7" s="3"/>
      <c r="U7" s="4">
        <v>18</v>
      </c>
      <c r="V7" s="4">
        <v>18</v>
      </c>
      <c r="W7" s="4"/>
      <c r="X7" s="3"/>
      <c r="Y7" s="5">
        <f t="shared" si="12"/>
        <v>18</v>
      </c>
      <c r="Z7" s="5">
        <f t="shared" si="13"/>
        <v>18</v>
      </c>
      <c r="AA7" s="3">
        <v>14</v>
      </c>
      <c r="AB7" s="3">
        <v>14</v>
      </c>
      <c r="AC7" s="3">
        <v>17</v>
      </c>
      <c r="AD7" s="3"/>
      <c r="AE7" s="3">
        <v>18</v>
      </c>
      <c r="AF7" s="3">
        <v>16</v>
      </c>
      <c r="AG7" s="3">
        <v>19</v>
      </c>
      <c r="AH7" s="3"/>
      <c r="AI7" s="3">
        <v>16</v>
      </c>
      <c r="AJ7" s="3">
        <v>17</v>
      </c>
      <c r="AK7" s="3"/>
      <c r="AL7" s="3"/>
      <c r="AM7" s="3">
        <v>16</v>
      </c>
      <c r="AN7" s="3">
        <v>15</v>
      </c>
      <c r="AO7" s="3">
        <v>14</v>
      </c>
      <c r="AP7" s="3"/>
      <c r="AQ7" s="6">
        <f t="shared" si="14"/>
        <v>16</v>
      </c>
      <c r="AR7" s="6">
        <f t="shared" si="15"/>
        <v>16</v>
      </c>
      <c r="AS7" s="3">
        <v>16</v>
      </c>
      <c r="AT7" s="3">
        <v>17</v>
      </c>
      <c r="AU7" s="3"/>
      <c r="AV7" s="3"/>
      <c r="AW7" s="3">
        <v>18</v>
      </c>
      <c r="AX7" s="3">
        <v>18</v>
      </c>
      <c r="AY7" s="3"/>
      <c r="AZ7" s="3"/>
      <c r="BA7" s="3">
        <v>18</v>
      </c>
      <c r="BB7" s="3">
        <v>17</v>
      </c>
      <c r="BC7" s="3">
        <v>18</v>
      </c>
      <c r="BD7" s="3">
        <v>18</v>
      </c>
      <c r="BE7" s="7">
        <f t="shared" si="16"/>
        <v>17</v>
      </c>
      <c r="BF7" s="7">
        <f t="shared" si="17"/>
        <v>17</v>
      </c>
      <c r="BG7" s="3">
        <v>18</v>
      </c>
      <c r="BH7" s="3">
        <v>18</v>
      </c>
      <c r="BI7" s="3">
        <v>16</v>
      </c>
      <c r="BJ7" s="3"/>
      <c r="BK7" s="3">
        <v>17</v>
      </c>
      <c r="BL7" s="3">
        <v>18</v>
      </c>
      <c r="BM7" s="3">
        <v>18</v>
      </c>
      <c r="BN7" s="3"/>
      <c r="BO7" s="8">
        <f t="shared" si="18"/>
        <v>18</v>
      </c>
      <c r="BP7" s="8">
        <f t="shared" si="19"/>
        <v>18</v>
      </c>
      <c r="BQ7" s="9">
        <f t="shared" si="0"/>
        <v>18</v>
      </c>
      <c r="BR7" s="9">
        <f t="shared" si="1"/>
        <v>18</v>
      </c>
      <c r="BS7" s="3"/>
      <c r="BT7" s="3"/>
      <c r="BU7" s="10">
        <f t="shared" si="20"/>
        <v>18</v>
      </c>
      <c r="BV7" s="9">
        <f t="shared" ref="BV7:BW9" si="23">ROUND(AVERAGE(BM7:BU7),0)</f>
        <v>18</v>
      </c>
      <c r="BW7" s="9">
        <f t="shared" si="23"/>
        <v>18</v>
      </c>
      <c r="BX7" s="3"/>
      <c r="BY7" s="3"/>
      <c r="BZ7" s="11">
        <f t="shared" si="3"/>
        <v>18</v>
      </c>
      <c r="CA7" s="9">
        <f t="shared" ref="CA7:CB9" si="24">ROUND(AVERAGE(BS7:BZ7),0)</f>
        <v>18</v>
      </c>
      <c r="CB7" s="9">
        <f t="shared" si="24"/>
        <v>18</v>
      </c>
      <c r="CC7" s="9"/>
      <c r="CD7" s="9"/>
      <c r="CE7" s="12">
        <f t="shared" si="5"/>
        <v>18</v>
      </c>
      <c r="CF7" s="3">
        <v>18</v>
      </c>
      <c r="CG7" s="3">
        <v>17</v>
      </c>
      <c r="CH7" s="3"/>
      <c r="CI7" s="3"/>
      <c r="CJ7" s="13">
        <f t="shared" si="6"/>
        <v>18</v>
      </c>
      <c r="CK7" s="3">
        <v>18</v>
      </c>
      <c r="CL7" s="3">
        <v>18</v>
      </c>
      <c r="CM7" s="3"/>
      <c r="CN7" s="3"/>
      <c r="CO7" s="14">
        <f t="shared" si="22"/>
        <v>18</v>
      </c>
      <c r="CP7" s="3">
        <v>18</v>
      </c>
      <c r="CQ7" s="3">
        <v>18</v>
      </c>
      <c r="CR7" s="3"/>
      <c r="CS7" s="3"/>
      <c r="CT7" s="15">
        <f t="shared" si="7"/>
        <v>18</v>
      </c>
      <c r="CU7" s="16">
        <f t="shared" si="8"/>
        <v>330</v>
      </c>
      <c r="CV7" s="16">
        <f t="shared" si="9"/>
        <v>329</v>
      </c>
      <c r="CW7" s="16"/>
      <c r="CX7" s="15"/>
      <c r="CY7" s="16">
        <f t="shared" si="21"/>
        <v>565</v>
      </c>
      <c r="CZ7" s="17"/>
    </row>
    <row r="8" spans="1:105" s="18" customFormat="1" ht="15" customHeight="1">
      <c r="A8" s="19">
        <f t="shared" si="11"/>
        <v>7</v>
      </c>
      <c r="B8" s="2" t="s">
        <v>8</v>
      </c>
      <c r="C8" s="28" t="s">
        <v>161</v>
      </c>
      <c r="D8" s="2" t="s">
        <v>5</v>
      </c>
      <c r="E8" s="3">
        <v>15</v>
      </c>
      <c r="F8" s="3">
        <v>16</v>
      </c>
      <c r="G8" s="3"/>
      <c r="H8" s="3"/>
      <c r="I8" s="3">
        <v>18</v>
      </c>
      <c r="J8" s="3">
        <v>18</v>
      </c>
      <c r="K8" s="3">
        <v>18</v>
      </c>
      <c r="L8" s="3">
        <v>18</v>
      </c>
      <c r="M8" s="3">
        <v>18</v>
      </c>
      <c r="N8" s="3">
        <v>18</v>
      </c>
      <c r="O8" s="3">
        <v>18</v>
      </c>
      <c r="P8" s="3">
        <v>18</v>
      </c>
      <c r="Q8" s="3">
        <v>14</v>
      </c>
      <c r="R8" s="3">
        <v>17</v>
      </c>
      <c r="S8" s="3"/>
      <c r="T8" s="3"/>
      <c r="U8" s="4">
        <v>15</v>
      </c>
      <c r="V8" s="4">
        <v>16</v>
      </c>
      <c r="W8" s="4"/>
      <c r="X8" s="3"/>
      <c r="Y8" s="5">
        <f t="shared" si="12"/>
        <v>16</v>
      </c>
      <c r="Z8" s="5">
        <f t="shared" si="13"/>
        <v>17</v>
      </c>
      <c r="AA8" s="3">
        <v>13</v>
      </c>
      <c r="AB8" s="3">
        <v>13</v>
      </c>
      <c r="AC8" s="3">
        <v>15</v>
      </c>
      <c r="AD8" s="3"/>
      <c r="AE8" s="3">
        <v>16</v>
      </c>
      <c r="AF8" s="3">
        <v>15</v>
      </c>
      <c r="AG8" s="3">
        <v>16</v>
      </c>
      <c r="AH8" s="3"/>
      <c r="AI8" s="3">
        <v>13</v>
      </c>
      <c r="AJ8" s="3">
        <v>13</v>
      </c>
      <c r="AK8" s="3"/>
      <c r="AL8" s="3"/>
      <c r="AM8" s="3">
        <v>14</v>
      </c>
      <c r="AN8" s="3">
        <v>14</v>
      </c>
      <c r="AO8" s="3">
        <v>15</v>
      </c>
      <c r="AP8" s="3"/>
      <c r="AQ8" s="6">
        <f t="shared" si="14"/>
        <v>14</v>
      </c>
      <c r="AR8" s="6">
        <f t="shared" si="15"/>
        <v>14</v>
      </c>
      <c r="AS8" s="3"/>
      <c r="AT8" s="3"/>
      <c r="AU8" s="3"/>
      <c r="AV8" s="3"/>
      <c r="AW8" s="3">
        <v>15</v>
      </c>
      <c r="AX8" s="3">
        <v>15</v>
      </c>
      <c r="AY8" s="3"/>
      <c r="AZ8" s="3"/>
      <c r="BA8" s="3">
        <v>18</v>
      </c>
      <c r="BB8" s="3">
        <v>18</v>
      </c>
      <c r="BC8" s="3">
        <v>18</v>
      </c>
      <c r="BD8" s="3">
        <v>18</v>
      </c>
      <c r="BE8" s="7">
        <f t="shared" si="16"/>
        <v>17</v>
      </c>
      <c r="BF8" s="7">
        <f t="shared" si="17"/>
        <v>17</v>
      </c>
      <c r="BG8" s="3">
        <v>15</v>
      </c>
      <c r="BH8" s="3">
        <v>15</v>
      </c>
      <c r="BI8" s="3">
        <v>16</v>
      </c>
      <c r="BJ8" s="3"/>
      <c r="BK8" s="3">
        <v>16</v>
      </c>
      <c r="BL8" s="3">
        <v>15</v>
      </c>
      <c r="BM8" s="3">
        <v>18</v>
      </c>
      <c r="BN8" s="3"/>
      <c r="BO8" s="8">
        <f t="shared" si="18"/>
        <v>16</v>
      </c>
      <c r="BP8" s="8">
        <f t="shared" si="19"/>
        <v>15</v>
      </c>
      <c r="BQ8" s="9">
        <f t="shared" si="0"/>
        <v>16</v>
      </c>
      <c r="BR8" s="9">
        <f t="shared" si="1"/>
        <v>16</v>
      </c>
      <c r="BS8" s="3"/>
      <c r="BT8" s="3"/>
      <c r="BU8" s="10">
        <f t="shared" si="20"/>
        <v>16</v>
      </c>
      <c r="BV8" s="9">
        <f t="shared" si="23"/>
        <v>16</v>
      </c>
      <c r="BW8" s="9">
        <f t="shared" si="23"/>
        <v>16</v>
      </c>
      <c r="BX8" s="3"/>
      <c r="BY8" s="3"/>
      <c r="BZ8" s="11">
        <f t="shared" si="3"/>
        <v>16</v>
      </c>
      <c r="CA8" s="9">
        <f t="shared" si="24"/>
        <v>16</v>
      </c>
      <c r="CB8" s="9">
        <f t="shared" si="24"/>
        <v>16</v>
      </c>
      <c r="CC8" s="9"/>
      <c r="CD8" s="9"/>
      <c r="CE8" s="12">
        <f t="shared" si="5"/>
        <v>16</v>
      </c>
      <c r="CF8" s="3">
        <v>15</v>
      </c>
      <c r="CG8" s="3">
        <v>14</v>
      </c>
      <c r="CH8" s="3"/>
      <c r="CI8" s="3"/>
      <c r="CJ8" s="13">
        <f t="shared" si="6"/>
        <v>15</v>
      </c>
      <c r="CK8" s="3">
        <v>16</v>
      </c>
      <c r="CL8" s="3">
        <v>15</v>
      </c>
      <c r="CM8" s="3"/>
      <c r="CN8" s="3"/>
      <c r="CO8" s="14">
        <f t="shared" si="22"/>
        <v>16</v>
      </c>
      <c r="CP8" s="3">
        <v>15</v>
      </c>
      <c r="CQ8" s="3">
        <v>15</v>
      </c>
      <c r="CR8" s="3"/>
      <c r="CS8" s="3"/>
      <c r="CT8" s="15">
        <f t="shared" si="7"/>
        <v>15</v>
      </c>
      <c r="CU8" s="16">
        <f t="shared" si="8"/>
        <v>279</v>
      </c>
      <c r="CV8" s="16">
        <f t="shared" si="9"/>
        <v>280</v>
      </c>
      <c r="CW8" s="16"/>
      <c r="CX8" s="15"/>
      <c r="CY8" s="16">
        <f t="shared" si="21"/>
        <v>98</v>
      </c>
      <c r="CZ8" s="24"/>
      <c r="DA8" s="25"/>
    </row>
    <row r="9" spans="1:105" s="40" customFormat="1" ht="15" customHeight="1">
      <c r="A9" s="19">
        <f t="shared" si="11"/>
        <v>8</v>
      </c>
      <c r="B9" s="83" t="s">
        <v>9</v>
      </c>
      <c r="C9" s="28" t="s">
        <v>161</v>
      </c>
      <c r="D9" s="30" t="s">
        <v>1</v>
      </c>
      <c r="E9" s="31">
        <v>15</v>
      </c>
      <c r="F9" s="31">
        <v>15</v>
      </c>
      <c r="G9" s="31"/>
      <c r="H9" s="31"/>
      <c r="I9" s="31">
        <v>18</v>
      </c>
      <c r="J9" s="31">
        <v>17</v>
      </c>
      <c r="K9" s="31">
        <v>18</v>
      </c>
      <c r="L9" s="31">
        <v>17</v>
      </c>
      <c r="M9" s="31">
        <v>18</v>
      </c>
      <c r="N9" s="31">
        <v>18</v>
      </c>
      <c r="O9" s="31">
        <v>18</v>
      </c>
      <c r="P9" s="31">
        <v>18</v>
      </c>
      <c r="Q9" s="31">
        <v>14</v>
      </c>
      <c r="R9" s="31">
        <v>16</v>
      </c>
      <c r="S9" s="31"/>
      <c r="T9" s="31"/>
      <c r="U9" s="32">
        <v>14</v>
      </c>
      <c r="V9" s="32">
        <v>15</v>
      </c>
      <c r="W9" s="32"/>
      <c r="X9" s="31"/>
      <c r="Y9" s="5">
        <f t="shared" si="12"/>
        <v>16</v>
      </c>
      <c r="Z9" s="5">
        <f t="shared" si="13"/>
        <v>16</v>
      </c>
      <c r="AA9" s="31">
        <v>13</v>
      </c>
      <c r="AB9" s="31">
        <v>14</v>
      </c>
      <c r="AC9" s="31">
        <v>8</v>
      </c>
      <c r="AD9" s="31"/>
      <c r="AE9" s="31">
        <v>13</v>
      </c>
      <c r="AF9" s="31">
        <v>13</v>
      </c>
      <c r="AG9" s="31">
        <v>14</v>
      </c>
      <c r="AH9" s="31"/>
      <c r="AI9" s="31">
        <v>14</v>
      </c>
      <c r="AJ9" s="31">
        <v>14</v>
      </c>
      <c r="AK9" s="31"/>
      <c r="AL9" s="31"/>
      <c r="AM9" s="31">
        <v>13</v>
      </c>
      <c r="AN9" s="31">
        <v>13</v>
      </c>
      <c r="AO9" s="31">
        <v>8</v>
      </c>
      <c r="AP9" s="31"/>
      <c r="AQ9" s="6">
        <f t="shared" si="14"/>
        <v>13</v>
      </c>
      <c r="AR9" s="6">
        <f t="shared" si="15"/>
        <v>14</v>
      </c>
      <c r="AS9" s="31">
        <v>13</v>
      </c>
      <c r="AT9" s="31">
        <v>13</v>
      </c>
      <c r="AU9" s="31"/>
      <c r="AV9" s="31"/>
      <c r="AW9" s="31">
        <v>16</v>
      </c>
      <c r="AX9" s="31">
        <v>15</v>
      </c>
      <c r="AY9" s="31"/>
      <c r="AZ9" s="31"/>
      <c r="BA9" s="31">
        <v>18</v>
      </c>
      <c r="BB9" s="31">
        <v>18</v>
      </c>
      <c r="BC9" s="31">
        <v>17</v>
      </c>
      <c r="BD9" s="31">
        <v>17</v>
      </c>
      <c r="BE9" s="7">
        <f t="shared" si="16"/>
        <v>16</v>
      </c>
      <c r="BF9" s="7">
        <f t="shared" si="17"/>
        <v>15</v>
      </c>
      <c r="BG9" s="31">
        <v>16</v>
      </c>
      <c r="BH9" s="31">
        <v>15</v>
      </c>
      <c r="BI9" s="31">
        <v>12</v>
      </c>
      <c r="BJ9" s="31"/>
      <c r="BK9" s="31">
        <v>14</v>
      </c>
      <c r="BL9" s="31">
        <v>15</v>
      </c>
      <c r="BM9" s="31">
        <v>12</v>
      </c>
      <c r="BN9" s="31"/>
      <c r="BO9" s="8">
        <f t="shared" si="18"/>
        <v>15</v>
      </c>
      <c r="BP9" s="8">
        <f t="shared" si="19"/>
        <v>15</v>
      </c>
      <c r="BQ9" s="33">
        <f t="shared" si="0"/>
        <v>14</v>
      </c>
      <c r="BR9" s="33">
        <f t="shared" si="1"/>
        <v>14</v>
      </c>
      <c r="BS9" s="31"/>
      <c r="BT9" s="31"/>
      <c r="BU9" s="10">
        <f t="shared" si="20"/>
        <v>14</v>
      </c>
      <c r="BV9" s="33">
        <f t="shared" si="23"/>
        <v>14</v>
      </c>
      <c r="BW9" s="33">
        <f t="shared" si="23"/>
        <v>14</v>
      </c>
      <c r="BX9" s="31"/>
      <c r="BY9" s="31"/>
      <c r="BZ9" s="34">
        <f t="shared" si="3"/>
        <v>14</v>
      </c>
      <c r="CA9" s="33">
        <f t="shared" si="24"/>
        <v>14</v>
      </c>
      <c r="CB9" s="33">
        <f t="shared" si="24"/>
        <v>14</v>
      </c>
      <c r="CC9" s="33"/>
      <c r="CD9" s="33"/>
      <c r="CE9" s="35">
        <f t="shared" si="5"/>
        <v>14</v>
      </c>
      <c r="CF9" s="31">
        <v>15</v>
      </c>
      <c r="CG9" s="31">
        <v>16</v>
      </c>
      <c r="CH9" s="31"/>
      <c r="CI9" s="31"/>
      <c r="CJ9" s="36">
        <f t="shared" si="6"/>
        <v>16</v>
      </c>
      <c r="CK9" s="31">
        <v>15</v>
      </c>
      <c r="CL9" s="31">
        <v>15</v>
      </c>
      <c r="CM9" s="31"/>
      <c r="CN9" s="31"/>
      <c r="CO9" s="37">
        <f t="shared" si="22"/>
        <v>15</v>
      </c>
      <c r="CP9" s="31">
        <v>15</v>
      </c>
      <c r="CQ9" s="31">
        <v>15</v>
      </c>
      <c r="CR9" s="31"/>
      <c r="CS9" s="31"/>
      <c r="CT9" s="15">
        <f t="shared" si="7"/>
        <v>15</v>
      </c>
      <c r="CU9" s="16">
        <f t="shared" si="8"/>
        <v>281</v>
      </c>
      <c r="CV9" s="16">
        <f t="shared" si="9"/>
        <v>284</v>
      </c>
      <c r="CW9" s="16"/>
      <c r="CX9" s="15"/>
      <c r="CY9" s="16">
        <f t="shared" si="21"/>
        <v>552</v>
      </c>
      <c r="CZ9" s="41"/>
    </row>
    <row r="10" spans="1:105" s="18" customFormat="1" ht="15" customHeight="1">
      <c r="A10" s="19">
        <f t="shared" si="11"/>
        <v>9</v>
      </c>
      <c r="B10" s="85" t="s">
        <v>10</v>
      </c>
      <c r="C10" s="28" t="s">
        <v>161</v>
      </c>
      <c r="D10" s="20" t="s">
        <v>1</v>
      </c>
      <c r="E10" s="21"/>
      <c r="F10" s="21"/>
      <c r="G10" s="21"/>
      <c r="H10" s="21"/>
      <c r="I10" s="21">
        <v>16</v>
      </c>
      <c r="J10" s="21">
        <v>16</v>
      </c>
      <c r="K10" s="21"/>
      <c r="L10" s="21"/>
      <c r="M10" s="21">
        <v>17</v>
      </c>
      <c r="N10" s="21">
        <v>16</v>
      </c>
      <c r="O10" s="21"/>
      <c r="P10" s="21"/>
      <c r="Q10" s="21"/>
      <c r="R10" s="21"/>
      <c r="S10" s="21"/>
      <c r="T10" s="21"/>
      <c r="U10" s="22"/>
      <c r="V10" s="22"/>
      <c r="W10" s="22"/>
      <c r="X10" s="21"/>
      <c r="Y10" s="5">
        <f t="shared" si="12"/>
        <v>17</v>
      </c>
      <c r="Z10" s="5">
        <f t="shared" si="13"/>
        <v>16</v>
      </c>
      <c r="AA10" s="21"/>
      <c r="AB10" s="21"/>
      <c r="AC10" s="21">
        <v>17</v>
      </c>
      <c r="AD10" s="21"/>
      <c r="AE10" s="21"/>
      <c r="AF10" s="21"/>
      <c r="AG10" s="21">
        <v>18</v>
      </c>
      <c r="AH10" s="21"/>
      <c r="AI10" s="21"/>
      <c r="AJ10" s="21"/>
      <c r="AK10" s="21"/>
      <c r="AL10" s="21"/>
      <c r="AM10" s="21"/>
      <c r="AN10" s="21"/>
      <c r="AO10" s="21">
        <v>13</v>
      </c>
      <c r="AP10" s="21"/>
      <c r="AQ10" s="6" t="e">
        <f t="shared" si="14"/>
        <v>#DIV/0!</v>
      </c>
      <c r="AR10" s="6" t="e">
        <f t="shared" si="15"/>
        <v>#DIV/0!</v>
      </c>
      <c r="AS10" s="21"/>
      <c r="AT10" s="21"/>
      <c r="AU10" s="21"/>
      <c r="AV10" s="21"/>
      <c r="AW10" s="21"/>
      <c r="AX10" s="21"/>
      <c r="AY10" s="21"/>
      <c r="AZ10" s="21"/>
      <c r="BA10" s="21">
        <v>16</v>
      </c>
      <c r="BB10" s="21">
        <v>17</v>
      </c>
      <c r="BC10" s="21"/>
      <c r="BD10" s="21"/>
      <c r="BE10" s="7">
        <f t="shared" si="16"/>
        <v>16</v>
      </c>
      <c r="BF10" s="7">
        <f t="shared" si="17"/>
        <v>17</v>
      </c>
      <c r="BG10" s="21"/>
      <c r="BH10" s="21"/>
      <c r="BI10" s="21">
        <v>18</v>
      </c>
      <c r="BJ10" s="21"/>
      <c r="BK10" s="21"/>
      <c r="BL10" s="21"/>
      <c r="BM10" s="21">
        <v>16</v>
      </c>
      <c r="BN10" s="21"/>
      <c r="BO10" s="8" t="e">
        <f t="shared" si="18"/>
        <v>#DIV/0!</v>
      </c>
      <c r="BP10" s="8" t="e">
        <f t="shared" si="19"/>
        <v>#DIV/0!</v>
      </c>
      <c r="BQ10" s="21"/>
      <c r="BR10" s="21"/>
      <c r="BS10" s="21"/>
      <c r="BT10" s="21"/>
      <c r="BU10" s="10" t="e">
        <f t="shared" si="20"/>
        <v>#DIV/0!</v>
      </c>
      <c r="BV10" s="21"/>
      <c r="BW10" s="21"/>
      <c r="BX10" s="21"/>
      <c r="BY10" s="21"/>
      <c r="BZ10" s="23" t="e">
        <f t="shared" si="3"/>
        <v>#DIV/0!</v>
      </c>
      <c r="CA10" s="21"/>
      <c r="CB10" s="21"/>
      <c r="CC10" s="21"/>
      <c r="CD10" s="21"/>
      <c r="CE10" s="23" t="e">
        <f t="shared" si="5"/>
        <v>#DIV/0!</v>
      </c>
      <c r="CF10" s="21"/>
      <c r="CG10" s="21"/>
      <c r="CH10" s="21"/>
      <c r="CI10" s="21"/>
      <c r="CJ10" s="23" t="e">
        <f t="shared" si="6"/>
        <v>#DIV/0!</v>
      </c>
      <c r="CK10" s="21"/>
      <c r="CL10" s="21"/>
      <c r="CM10" s="21"/>
      <c r="CN10" s="21"/>
      <c r="CO10" s="23" t="e">
        <f t="shared" si="22"/>
        <v>#DIV/0!</v>
      </c>
      <c r="CP10" s="21"/>
      <c r="CQ10" s="21"/>
      <c r="CR10" s="21"/>
      <c r="CS10" s="21"/>
      <c r="CT10" s="15" t="e">
        <f t="shared" si="7"/>
        <v>#DIV/0!</v>
      </c>
      <c r="CU10" s="16">
        <f t="shared" si="8"/>
        <v>49</v>
      </c>
      <c r="CV10" s="16">
        <f t="shared" si="9"/>
        <v>49</v>
      </c>
      <c r="CW10" s="16"/>
      <c r="CX10" s="15"/>
      <c r="CY10" s="16">
        <f t="shared" si="21"/>
        <v>260</v>
      </c>
      <c r="CZ10" s="24"/>
      <c r="DA10" s="25"/>
    </row>
    <row r="11" spans="1:105" s="18" customFormat="1" ht="15" customHeight="1">
      <c r="A11" s="19">
        <f t="shared" si="11"/>
        <v>10</v>
      </c>
      <c r="B11" s="2" t="s">
        <v>11</v>
      </c>
      <c r="C11" s="28" t="s">
        <v>161</v>
      </c>
      <c r="D11" s="2" t="s">
        <v>1</v>
      </c>
      <c r="E11" s="3">
        <v>14</v>
      </c>
      <c r="F11" s="3">
        <v>15</v>
      </c>
      <c r="G11" s="3"/>
      <c r="H11" s="3"/>
      <c r="I11" s="3">
        <v>16</v>
      </c>
      <c r="J11" s="3">
        <v>16</v>
      </c>
      <c r="K11" s="3">
        <v>17</v>
      </c>
      <c r="L11" s="3">
        <v>16</v>
      </c>
      <c r="M11" s="3">
        <v>17</v>
      </c>
      <c r="N11" s="3">
        <v>16</v>
      </c>
      <c r="O11" s="3">
        <v>17</v>
      </c>
      <c r="P11" s="3">
        <v>16</v>
      </c>
      <c r="Q11" s="3">
        <v>14</v>
      </c>
      <c r="R11" s="3">
        <v>16</v>
      </c>
      <c r="S11" s="3"/>
      <c r="T11" s="3"/>
      <c r="U11" s="4">
        <v>15</v>
      </c>
      <c r="V11" s="4">
        <v>15</v>
      </c>
      <c r="W11" s="4"/>
      <c r="X11" s="3"/>
      <c r="Y11" s="5">
        <f t="shared" si="12"/>
        <v>15</v>
      </c>
      <c r="Z11" s="5">
        <f t="shared" si="13"/>
        <v>16</v>
      </c>
      <c r="AA11" s="3">
        <v>13</v>
      </c>
      <c r="AB11" s="3">
        <v>14</v>
      </c>
      <c r="AC11" s="3">
        <v>11</v>
      </c>
      <c r="AD11" s="3"/>
      <c r="AE11" s="3">
        <v>16</v>
      </c>
      <c r="AF11" s="3">
        <v>15</v>
      </c>
      <c r="AG11" s="3">
        <v>11</v>
      </c>
      <c r="AH11" s="3"/>
      <c r="AI11" s="3">
        <v>14</v>
      </c>
      <c r="AJ11" s="3">
        <v>14</v>
      </c>
      <c r="AK11" s="3"/>
      <c r="AL11" s="3"/>
      <c r="AM11" s="3">
        <v>13</v>
      </c>
      <c r="AN11" s="3">
        <v>13</v>
      </c>
      <c r="AO11" s="3">
        <v>14</v>
      </c>
      <c r="AP11" s="3"/>
      <c r="AQ11" s="6">
        <f t="shared" si="14"/>
        <v>14</v>
      </c>
      <c r="AR11" s="6">
        <f t="shared" si="15"/>
        <v>14</v>
      </c>
      <c r="AS11" s="3">
        <v>14</v>
      </c>
      <c r="AT11" s="3">
        <v>14</v>
      </c>
      <c r="AU11" s="3"/>
      <c r="AV11" s="3"/>
      <c r="AW11" s="3">
        <v>14</v>
      </c>
      <c r="AX11" s="3">
        <v>14</v>
      </c>
      <c r="AY11" s="3"/>
      <c r="AZ11" s="3"/>
      <c r="BA11" s="3">
        <v>16</v>
      </c>
      <c r="BB11" s="3">
        <v>17</v>
      </c>
      <c r="BC11" s="3">
        <v>17</v>
      </c>
      <c r="BD11" s="3">
        <v>17</v>
      </c>
      <c r="BE11" s="7">
        <f t="shared" si="16"/>
        <v>15</v>
      </c>
      <c r="BF11" s="7">
        <f t="shared" si="17"/>
        <v>15</v>
      </c>
      <c r="BG11" s="3">
        <v>14</v>
      </c>
      <c r="BH11" s="3">
        <v>14</v>
      </c>
      <c r="BI11" s="3">
        <v>18</v>
      </c>
      <c r="BJ11" s="3"/>
      <c r="BK11" s="3">
        <v>14</v>
      </c>
      <c r="BL11" s="3">
        <v>14</v>
      </c>
      <c r="BM11" s="3">
        <v>16</v>
      </c>
      <c r="BN11" s="3"/>
      <c r="BO11" s="8">
        <f t="shared" si="18"/>
        <v>14</v>
      </c>
      <c r="BP11" s="8">
        <f t="shared" si="19"/>
        <v>14</v>
      </c>
      <c r="BQ11" s="3">
        <v>14</v>
      </c>
      <c r="BR11" s="3">
        <v>14</v>
      </c>
      <c r="BS11" s="3"/>
      <c r="BT11" s="3"/>
      <c r="BU11" s="10">
        <f t="shared" si="20"/>
        <v>14</v>
      </c>
      <c r="BV11" s="3">
        <v>14</v>
      </c>
      <c r="BW11" s="3">
        <v>14</v>
      </c>
      <c r="BX11" s="3"/>
      <c r="BY11" s="3"/>
      <c r="BZ11" s="11">
        <f t="shared" si="3"/>
        <v>14</v>
      </c>
      <c r="CA11" s="3">
        <v>14</v>
      </c>
      <c r="CB11" s="3">
        <v>14</v>
      </c>
      <c r="CC11" s="3"/>
      <c r="CD11" s="3"/>
      <c r="CE11" s="12">
        <f t="shared" si="5"/>
        <v>14</v>
      </c>
      <c r="CF11" s="3">
        <v>14</v>
      </c>
      <c r="CG11" s="3">
        <v>15</v>
      </c>
      <c r="CH11" s="3"/>
      <c r="CI11" s="3"/>
      <c r="CJ11" s="13">
        <f t="shared" si="6"/>
        <v>15</v>
      </c>
      <c r="CK11" s="3">
        <v>14</v>
      </c>
      <c r="CL11" s="3">
        <v>14</v>
      </c>
      <c r="CM11" s="3"/>
      <c r="CN11" s="3"/>
      <c r="CO11" s="14">
        <f t="shared" si="22"/>
        <v>14</v>
      </c>
      <c r="CP11" s="3">
        <v>14</v>
      </c>
      <c r="CQ11" s="3">
        <v>14</v>
      </c>
      <c r="CR11" s="3"/>
      <c r="CS11" s="3"/>
      <c r="CT11" s="15">
        <f t="shared" si="7"/>
        <v>14</v>
      </c>
      <c r="CU11" s="16">
        <f t="shared" si="8"/>
        <v>274</v>
      </c>
      <c r="CV11" s="16">
        <f t="shared" si="9"/>
        <v>278</v>
      </c>
      <c r="CW11" s="16"/>
      <c r="CX11" s="15"/>
      <c r="CY11" s="16">
        <f t="shared" si="21"/>
        <v>651</v>
      </c>
      <c r="CZ11" s="17"/>
    </row>
    <row r="12" spans="1:105" s="18" customFormat="1" ht="15" customHeight="1">
      <c r="A12" s="19">
        <f t="shared" si="11"/>
        <v>11</v>
      </c>
      <c r="B12" s="85" t="s">
        <v>12</v>
      </c>
      <c r="C12" s="28" t="s">
        <v>161</v>
      </c>
      <c r="D12" s="20" t="s">
        <v>1</v>
      </c>
      <c r="E12" s="21">
        <v>14</v>
      </c>
      <c r="F12" s="21">
        <v>15</v>
      </c>
      <c r="G12" s="21"/>
      <c r="H12" s="21"/>
      <c r="I12" s="21">
        <v>16</v>
      </c>
      <c r="J12" s="21">
        <v>16</v>
      </c>
      <c r="K12" s="21"/>
      <c r="L12" s="21"/>
      <c r="M12" s="21">
        <v>17</v>
      </c>
      <c r="N12" s="21">
        <v>17</v>
      </c>
      <c r="O12" s="21"/>
      <c r="P12" s="21"/>
      <c r="Q12" s="21">
        <v>14</v>
      </c>
      <c r="R12" s="21">
        <v>15</v>
      </c>
      <c r="S12" s="21"/>
      <c r="T12" s="21"/>
      <c r="U12" s="22">
        <v>15</v>
      </c>
      <c r="V12" s="22">
        <v>15</v>
      </c>
      <c r="W12" s="22"/>
      <c r="X12" s="21"/>
      <c r="Y12" s="5">
        <f t="shared" si="12"/>
        <v>15</v>
      </c>
      <c r="Z12" s="5">
        <f t="shared" si="13"/>
        <v>16</v>
      </c>
      <c r="AA12" s="21">
        <v>12</v>
      </c>
      <c r="AB12" s="21">
        <v>13</v>
      </c>
      <c r="AC12" s="21">
        <v>8</v>
      </c>
      <c r="AD12" s="21"/>
      <c r="AE12" s="21">
        <v>12</v>
      </c>
      <c r="AF12" s="21">
        <v>12</v>
      </c>
      <c r="AG12" s="21">
        <v>8</v>
      </c>
      <c r="AH12" s="21"/>
      <c r="AI12" s="21"/>
      <c r="AJ12" s="21"/>
      <c r="AK12" s="21"/>
      <c r="AL12" s="21"/>
      <c r="AM12" s="21">
        <v>12</v>
      </c>
      <c r="AN12" s="21">
        <v>12</v>
      </c>
      <c r="AO12" s="21">
        <v>8</v>
      </c>
      <c r="AP12" s="21"/>
      <c r="AQ12" s="6">
        <f t="shared" si="14"/>
        <v>12</v>
      </c>
      <c r="AR12" s="6">
        <f t="shared" si="15"/>
        <v>12</v>
      </c>
      <c r="AS12" s="21"/>
      <c r="AT12" s="21"/>
      <c r="AU12" s="21"/>
      <c r="AV12" s="21"/>
      <c r="AW12" s="21"/>
      <c r="AX12" s="21"/>
      <c r="AY12" s="21"/>
      <c r="AZ12" s="21"/>
      <c r="BA12" s="21">
        <v>16</v>
      </c>
      <c r="BB12" s="21">
        <v>17</v>
      </c>
      <c r="BC12" s="21"/>
      <c r="BD12" s="21"/>
      <c r="BE12" s="7">
        <f t="shared" si="16"/>
        <v>16</v>
      </c>
      <c r="BF12" s="7">
        <f t="shared" si="17"/>
        <v>17</v>
      </c>
      <c r="BG12" s="21"/>
      <c r="BH12" s="21"/>
      <c r="BI12" s="21"/>
      <c r="BJ12" s="21"/>
      <c r="BK12" s="21"/>
      <c r="BL12" s="21"/>
      <c r="BM12" s="21"/>
      <c r="BN12" s="21"/>
      <c r="BO12" s="8" t="e">
        <f t="shared" si="18"/>
        <v>#DIV/0!</v>
      </c>
      <c r="BP12" s="8" t="e">
        <f t="shared" si="19"/>
        <v>#DIV/0!</v>
      </c>
      <c r="BQ12" s="21"/>
      <c r="BR12" s="21"/>
      <c r="BS12" s="21"/>
      <c r="BT12" s="21"/>
      <c r="BU12" s="10" t="e">
        <f t="shared" si="20"/>
        <v>#DIV/0!</v>
      </c>
      <c r="BV12" s="21"/>
      <c r="BW12" s="21"/>
      <c r="BX12" s="21"/>
      <c r="BY12" s="21"/>
      <c r="BZ12" s="23" t="e">
        <f t="shared" si="3"/>
        <v>#DIV/0!</v>
      </c>
      <c r="CA12" s="21"/>
      <c r="CB12" s="21"/>
      <c r="CC12" s="21"/>
      <c r="CD12" s="21"/>
      <c r="CE12" s="23" t="e">
        <f t="shared" si="5"/>
        <v>#DIV/0!</v>
      </c>
      <c r="CF12" s="21"/>
      <c r="CG12" s="21"/>
      <c r="CH12" s="21"/>
      <c r="CI12" s="21"/>
      <c r="CJ12" s="23" t="e">
        <f t="shared" si="6"/>
        <v>#DIV/0!</v>
      </c>
      <c r="CK12" s="21"/>
      <c r="CL12" s="21"/>
      <c r="CM12" s="21"/>
      <c r="CN12" s="21"/>
      <c r="CO12" s="23" t="e">
        <f t="shared" si="22"/>
        <v>#DIV/0!</v>
      </c>
      <c r="CP12" s="21"/>
      <c r="CQ12" s="21"/>
      <c r="CR12" s="21"/>
      <c r="CS12" s="21"/>
      <c r="CT12" s="15" t="e">
        <f t="shared" si="7"/>
        <v>#DIV/0!</v>
      </c>
      <c r="CU12" s="16">
        <f t="shared" si="8"/>
        <v>128</v>
      </c>
      <c r="CV12" s="16">
        <f t="shared" si="9"/>
        <v>132</v>
      </c>
      <c r="CW12" s="16"/>
      <c r="CX12" s="15"/>
      <c r="CY12" s="16">
        <f t="shared" si="21"/>
        <v>570</v>
      </c>
      <c r="CZ12" s="17"/>
    </row>
    <row r="13" spans="1:105" s="18" customFormat="1" ht="15" customHeight="1">
      <c r="A13" s="19">
        <f t="shared" si="11"/>
        <v>12</v>
      </c>
      <c r="B13" s="2" t="s">
        <v>13</v>
      </c>
      <c r="C13" s="28" t="s">
        <v>161</v>
      </c>
      <c r="D13" s="2" t="s">
        <v>5</v>
      </c>
      <c r="E13" s="3">
        <v>17</v>
      </c>
      <c r="F13" s="3">
        <v>18</v>
      </c>
      <c r="G13" s="3"/>
      <c r="H13" s="3"/>
      <c r="I13" s="3">
        <v>18</v>
      </c>
      <c r="J13" s="3">
        <v>18</v>
      </c>
      <c r="K13" s="3">
        <v>18</v>
      </c>
      <c r="L13" s="3">
        <v>18</v>
      </c>
      <c r="M13" s="3">
        <v>18</v>
      </c>
      <c r="N13" s="3">
        <v>18</v>
      </c>
      <c r="O13" s="3">
        <v>16</v>
      </c>
      <c r="P13" s="3">
        <v>18</v>
      </c>
      <c r="Q13" s="3">
        <v>17</v>
      </c>
      <c r="R13" s="3">
        <v>17</v>
      </c>
      <c r="S13" s="3"/>
      <c r="T13" s="3"/>
      <c r="U13" s="4">
        <v>17</v>
      </c>
      <c r="V13" s="4">
        <v>18</v>
      </c>
      <c r="W13" s="4"/>
      <c r="X13" s="3"/>
      <c r="Y13" s="5">
        <f t="shared" si="12"/>
        <v>17</v>
      </c>
      <c r="Z13" s="5">
        <f t="shared" si="13"/>
        <v>18</v>
      </c>
      <c r="AA13" s="3">
        <v>17</v>
      </c>
      <c r="AB13" s="3">
        <v>15</v>
      </c>
      <c r="AC13" s="3">
        <v>17</v>
      </c>
      <c r="AD13" s="3"/>
      <c r="AE13" s="3">
        <v>17</v>
      </c>
      <c r="AF13" s="3">
        <v>15</v>
      </c>
      <c r="AG13" s="3">
        <v>18</v>
      </c>
      <c r="AH13" s="3"/>
      <c r="AI13" s="3">
        <v>16</v>
      </c>
      <c r="AJ13" s="3">
        <v>16</v>
      </c>
      <c r="AK13" s="3"/>
      <c r="AL13" s="3"/>
      <c r="AM13" s="3">
        <v>15</v>
      </c>
      <c r="AN13" s="3">
        <v>14</v>
      </c>
      <c r="AO13" s="3">
        <v>14</v>
      </c>
      <c r="AP13" s="3"/>
      <c r="AQ13" s="6">
        <f t="shared" si="14"/>
        <v>16</v>
      </c>
      <c r="AR13" s="6">
        <f t="shared" si="15"/>
        <v>15</v>
      </c>
      <c r="AS13" s="3">
        <v>15</v>
      </c>
      <c r="AT13" s="3">
        <v>15</v>
      </c>
      <c r="AU13" s="3"/>
      <c r="AV13" s="3"/>
      <c r="AW13" s="3">
        <v>18</v>
      </c>
      <c r="AX13" s="3">
        <v>18</v>
      </c>
      <c r="AY13" s="3"/>
      <c r="AZ13" s="3"/>
      <c r="BA13" s="3">
        <v>18</v>
      </c>
      <c r="BB13" s="3">
        <v>18</v>
      </c>
      <c r="BC13" s="3">
        <v>18</v>
      </c>
      <c r="BD13" s="3">
        <v>18</v>
      </c>
      <c r="BE13" s="7">
        <f t="shared" si="16"/>
        <v>17</v>
      </c>
      <c r="BF13" s="7">
        <f t="shared" si="17"/>
        <v>17</v>
      </c>
      <c r="BG13" s="3">
        <v>17</v>
      </c>
      <c r="BH13" s="3">
        <v>18</v>
      </c>
      <c r="BI13" s="3">
        <v>16</v>
      </c>
      <c r="BJ13" s="3"/>
      <c r="BK13" s="3">
        <v>17</v>
      </c>
      <c r="BL13" s="3">
        <v>18</v>
      </c>
      <c r="BM13" s="3">
        <v>14</v>
      </c>
      <c r="BN13" s="3"/>
      <c r="BO13" s="8">
        <f t="shared" si="18"/>
        <v>17</v>
      </c>
      <c r="BP13" s="8">
        <f t="shared" si="19"/>
        <v>18</v>
      </c>
      <c r="BQ13" s="3">
        <v>18</v>
      </c>
      <c r="BR13" s="3">
        <v>18</v>
      </c>
      <c r="BS13" s="3"/>
      <c r="BT13" s="3"/>
      <c r="BU13" s="10">
        <f t="shared" si="20"/>
        <v>18</v>
      </c>
      <c r="BV13" s="3">
        <v>18</v>
      </c>
      <c r="BW13" s="3">
        <v>18</v>
      </c>
      <c r="BX13" s="3"/>
      <c r="BY13" s="3"/>
      <c r="BZ13" s="11">
        <f t="shared" si="3"/>
        <v>18</v>
      </c>
      <c r="CA13" s="3">
        <v>18</v>
      </c>
      <c r="CB13" s="3">
        <v>18</v>
      </c>
      <c r="CC13" s="3"/>
      <c r="CD13" s="3"/>
      <c r="CE13" s="12">
        <f t="shared" si="5"/>
        <v>18</v>
      </c>
      <c r="CF13" s="3">
        <v>18</v>
      </c>
      <c r="CG13" s="3">
        <v>17</v>
      </c>
      <c r="CH13" s="3"/>
      <c r="CI13" s="3"/>
      <c r="CJ13" s="13">
        <f t="shared" si="6"/>
        <v>18</v>
      </c>
      <c r="CK13" s="3">
        <v>17</v>
      </c>
      <c r="CL13" s="3">
        <v>18</v>
      </c>
      <c r="CM13" s="3"/>
      <c r="CN13" s="3"/>
      <c r="CO13" s="14">
        <f t="shared" si="22"/>
        <v>18</v>
      </c>
      <c r="CP13" s="3">
        <v>18</v>
      </c>
      <c r="CQ13" s="3">
        <v>18</v>
      </c>
      <c r="CR13" s="3"/>
      <c r="CS13" s="3"/>
      <c r="CT13" s="15">
        <f t="shared" si="7"/>
        <v>18</v>
      </c>
      <c r="CU13" s="16">
        <f t="shared" si="8"/>
        <v>326</v>
      </c>
      <c r="CV13" s="16">
        <f t="shared" si="9"/>
        <v>325</v>
      </c>
      <c r="CW13" s="16"/>
      <c r="CX13" s="15"/>
      <c r="CY13" s="16">
        <f t="shared" si="21"/>
        <v>619</v>
      </c>
      <c r="CZ13" s="17"/>
    </row>
    <row r="14" spans="1:105" s="18" customFormat="1" ht="15" customHeight="1">
      <c r="A14" s="19">
        <f t="shared" si="11"/>
        <v>13</v>
      </c>
      <c r="B14" s="2" t="s">
        <v>14</v>
      </c>
      <c r="C14" s="28" t="s">
        <v>161</v>
      </c>
      <c r="D14" s="2" t="s">
        <v>1</v>
      </c>
      <c r="E14" s="3">
        <v>14</v>
      </c>
      <c r="F14" s="3">
        <v>15</v>
      </c>
      <c r="G14" s="3"/>
      <c r="H14" s="3"/>
      <c r="I14" s="3">
        <v>18</v>
      </c>
      <c r="J14" s="3">
        <v>18</v>
      </c>
      <c r="K14" s="3">
        <v>18</v>
      </c>
      <c r="L14" s="3">
        <v>18</v>
      </c>
      <c r="M14" s="3">
        <v>18</v>
      </c>
      <c r="N14" s="3">
        <v>18</v>
      </c>
      <c r="O14" s="3">
        <v>18</v>
      </c>
      <c r="P14" s="3">
        <v>18</v>
      </c>
      <c r="Q14" s="3">
        <v>14</v>
      </c>
      <c r="R14" s="3">
        <v>15</v>
      </c>
      <c r="S14" s="3"/>
      <c r="T14" s="3"/>
      <c r="U14" s="4">
        <v>16</v>
      </c>
      <c r="V14" s="4">
        <v>17</v>
      </c>
      <c r="W14" s="4"/>
      <c r="X14" s="3"/>
      <c r="Y14" s="5">
        <f t="shared" si="12"/>
        <v>16</v>
      </c>
      <c r="Z14" s="5">
        <f t="shared" si="13"/>
        <v>17</v>
      </c>
      <c r="AA14" s="3">
        <v>15</v>
      </c>
      <c r="AB14" s="3">
        <v>14</v>
      </c>
      <c r="AC14" s="3">
        <v>11</v>
      </c>
      <c r="AD14" s="3"/>
      <c r="AE14" s="3">
        <v>15</v>
      </c>
      <c r="AF14" s="3">
        <v>14</v>
      </c>
      <c r="AG14" s="3">
        <v>14</v>
      </c>
      <c r="AH14" s="3"/>
      <c r="AI14" s="3">
        <v>14</v>
      </c>
      <c r="AJ14" s="3">
        <v>14</v>
      </c>
      <c r="AK14" s="3"/>
      <c r="AL14" s="3"/>
      <c r="AM14" s="3">
        <v>14</v>
      </c>
      <c r="AN14" s="3">
        <v>14</v>
      </c>
      <c r="AO14" s="3">
        <v>14</v>
      </c>
      <c r="AP14" s="3"/>
      <c r="AQ14" s="6">
        <f t="shared" si="14"/>
        <v>15</v>
      </c>
      <c r="AR14" s="6">
        <f t="shared" si="15"/>
        <v>14</v>
      </c>
      <c r="AS14" s="3">
        <v>14</v>
      </c>
      <c r="AT14" s="3">
        <v>15</v>
      </c>
      <c r="AU14" s="3"/>
      <c r="AV14" s="3"/>
      <c r="AW14" s="3">
        <v>14</v>
      </c>
      <c r="AX14" s="3">
        <v>14</v>
      </c>
      <c r="AY14" s="3"/>
      <c r="AZ14" s="3"/>
      <c r="BA14" s="3">
        <v>18</v>
      </c>
      <c r="BB14" s="3">
        <v>18</v>
      </c>
      <c r="BC14" s="3">
        <v>18</v>
      </c>
      <c r="BD14" s="3">
        <v>18</v>
      </c>
      <c r="BE14" s="7">
        <f t="shared" si="16"/>
        <v>15</v>
      </c>
      <c r="BF14" s="7">
        <f t="shared" si="17"/>
        <v>16</v>
      </c>
      <c r="BG14" s="3">
        <v>15</v>
      </c>
      <c r="BH14" s="3">
        <v>14</v>
      </c>
      <c r="BI14" s="3">
        <v>14</v>
      </c>
      <c r="BJ14" s="3"/>
      <c r="BK14" s="3">
        <v>15</v>
      </c>
      <c r="BL14" s="3">
        <v>14</v>
      </c>
      <c r="BM14" s="3">
        <v>16</v>
      </c>
      <c r="BN14" s="3"/>
      <c r="BO14" s="8">
        <f t="shared" si="18"/>
        <v>15</v>
      </c>
      <c r="BP14" s="8">
        <f t="shared" si="19"/>
        <v>14</v>
      </c>
      <c r="BQ14" s="3">
        <v>14</v>
      </c>
      <c r="BR14" s="3">
        <v>14</v>
      </c>
      <c r="BS14" s="3"/>
      <c r="BT14" s="3"/>
      <c r="BU14" s="10">
        <f t="shared" si="20"/>
        <v>14</v>
      </c>
      <c r="BV14" s="3">
        <v>14</v>
      </c>
      <c r="BW14" s="3">
        <v>14</v>
      </c>
      <c r="BX14" s="3"/>
      <c r="BY14" s="3"/>
      <c r="BZ14" s="11">
        <f t="shared" si="3"/>
        <v>14</v>
      </c>
      <c r="CA14" s="3">
        <v>14</v>
      </c>
      <c r="CB14" s="3">
        <v>14</v>
      </c>
      <c r="CC14" s="3"/>
      <c r="CD14" s="3"/>
      <c r="CE14" s="12">
        <f t="shared" si="5"/>
        <v>14</v>
      </c>
      <c r="CF14" s="3">
        <v>14</v>
      </c>
      <c r="CG14" s="3">
        <v>15</v>
      </c>
      <c r="CH14" s="3"/>
      <c r="CI14" s="3"/>
      <c r="CJ14" s="13">
        <f t="shared" si="6"/>
        <v>15</v>
      </c>
      <c r="CK14" s="3">
        <v>15</v>
      </c>
      <c r="CL14" s="3">
        <v>14</v>
      </c>
      <c r="CM14" s="3"/>
      <c r="CN14" s="3"/>
      <c r="CO14" s="14">
        <f t="shared" si="22"/>
        <v>15</v>
      </c>
      <c r="CP14" s="3">
        <v>14</v>
      </c>
      <c r="CQ14" s="3">
        <v>14</v>
      </c>
      <c r="CR14" s="3"/>
      <c r="CS14" s="3"/>
      <c r="CT14" s="15">
        <f t="shared" si="7"/>
        <v>14</v>
      </c>
      <c r="CU14" s="16">
        <f t="shared" si="8"/>
        <v>285</v>
      </c>
      <c r="CV14" s="16">
        <f t="shared" si="9"/>
        <v>285</v>
      </c>
      <c r="CW14" s="16"/>
      <c r="CX14" s="15"/>
      <c r="CY14" s="16">
        <f t="shared" si="21"/>
        <v>585</v>
      </c>
      <c r="CZ14" s="17"/>
    </row>
    <row r="15" spans="1:105" s="18" customFormat="1" ht="15" customHeight="1">
      <c r="A15" s="19">
        <f t="shared" si="11"/>
        <v>14</v>
      </c>
      <c r="B15" s="2" t="s">
        <v>15</v>
      </c>
      <c r="C15" s="28" t="s">
        <v>161</v>
      </c>
      <c r="D15" s="2" t="s">
        <v>5</v>
      </c>
      <c r="E15" s="3">
        <v>17</v>
      </c>
      <c r="F15" s="3">
        <v>17</v>
      </c>
      <c r="G15" s="3"/>
      <c r="H15" s="3"/>
      <c r="I15" s="3">
        <v>15</v>
      </c>
      <c r="J15" s="3">
        <v>15</v>
      </c>
      <c r="K15" s="3">
        <v>15</v>
      </c>
      <c r="L15" s="3">
        <v>15</v>
      </c>
      <c r="M15" s="3">
        <v>15</v>
      </c>
      <c r="N15" s="3">
        <v>16</v>
      </c>
      <c r="O15" s="3">
        <v>16</v>
      </c>
      <c r="P15" s="3">
        <v>16</v>
      </c>
      <c r="Q15" s="3">
        <v>18</v>
      </c>
      <c r="R15" s="3">
        <v>18</v>
      </c>
      <c r="S15" s="3"/>
      <c r="T15" s="3"/>
      <c r="U15" s="3">
        <v>16</v>
      </c>
      <c r="V15" s="3">
        <v>17</v>
      </c>
      <c r="W15" s="3"/>
      <c r="X15" s="3"/>
      <c r="Y15" s="5">
        <f t="shared" si="12"/>
        <v>16</v>
      </c>
      <c r="Z15" s="5">
        <f t="shared" si="13"/>
        <v>17</v>
      </c>
      <c r="AA15" s="3">
        <v>16</v>
      </c>
      <c r="AB15" s="3">
        <v>14</v>
      </c>
      <c r="AC15" s="3">
        <v>17</v>
      </c>
      <c r="AD15" s="3"/>
      <c r="AE15" s="3">
        <v>13</v>
      </c>
      <c r="AF15" s="3">
        <v>13</v>
      </c>
      <c r="AG15" s="3">
        <v>17</v>
      </c>
      <c r="AH15" s="3"/>
      <c r="AI15" s="3">
        <v>14</v>
      </c>
      <c r="AJ15" s="3">
        <v>14</v>
      </c>
      <c r="AK15" s="3"/>
      <c r="AL15" s="3"/>
      <c r="AM15" s="3">
        <v>14</v>
      </c>
      <c r="AN15" s="3">
        <v>13</v>
      </c>
      <c r="AO15" s="3">
        <v>13</v>
      </c>
      <c r="AP15" s="3"/>
      <c r="AQ15" s="6">
        <f t="shared" si="14"/>
        <v>14</v>
      </c>
      <c r="AR15" s="6">
        <f t="shared" si="15"/>
        <v>14</v>
      </c>
      <c r="AS15" s="3">
        <v>15</v>
      </c>
      <c r="AT15" s="3">
        <v>15</v>
      </c>
      <c r="AU15" s="3"/>
      <c r="AV15" s="3"/>
      <c r="AW15" s="3">
        <v>18</v>
      </c>
      <c r="AX15" s="3">
        <v>18</v>
      </c>
      <c r="AY15" s="3"/>
      <c r="AZ15" s="3"/>
      <c r="BA15" s="3">
        <v>15</v>
      </c>
      <c r="BB15" s="3">
        <v>15</v>
      </c>
      <c r="BC15" s="3">
        <v>17</v>
      </c>
      <c r="BD15" s="3">
        <v>17</v>
      </c>
      <c r="BE15" s="7">
        <f t="shared" si="16"/>
        <v>16</v>
      </c>
      <c r="BF15" s="7">
        <f t="shared" si="17"/>
        <v>16</v>
      </c>
      <c r="BG15" s="3">
        <v>17</v>
      </c>
      <c r="BH15" s="3">
        <v>18</v>
      </c>
      <c r="BI15" s="3">
        <v>12</v>
      </c>
      <c r="BJ15" s="3"/>
      <c r="BK15" s="3">
        <v>17</v>
      </c>
      <c r="BL15" s="3">
        <v>18</v>
      </c>
      <c r="BM15" s="3">
        <v>14</v>
      </c>
      <c r="BN15" s="3"/>
      <c r="BO15" s="8">
        <f t="shared" si="18"/>
        <v>17</v>
      </c>
      <c r="BP15" s="8">
        <f t="shared" si="19"/>
        <v>18</v>
      </c>
      <c r="BQ15" s="3">
        <v>18</v>
      </c>
      <c r="BR15" s="3">
        <v>18</v>
      </c>
      <c r="BS15" s="3"/>
      <c r="BT15" s="3"/>
      <c r="BU15" s="10">
        <f t="shared" si="20"/>
        <v>18</v>
      </c>
      <c r="BV15" s="3">
        <v>18</v>
      </c>
      <c r="BW15" s="3">
        <v>18</v>
      </c>
      <c r="BX15" s="3"/>
      <c r="BY15" s="3"/>
      <c r="BZ15" s="11">
        <f t="shared" si="3"/>
        <v>18</v>
      </c>
      <c r="CA15" s="3">
        <v>18</v>
      </c>
      <c r="CB15" s="3">
        <v>18</v>
      </c>
      <c r="CC15" s="3"/>
      <c r="CD15" s="3"/>
      <c r="CE15" s="12">
        <f t="shared" si="5"/>
        <v>18</v>
      </c>
      <c r="CF15" s="3">
        <v>18</v>
      </c>
      <c r="CG15" s="3">
        <v>17</v>
      </c>
      <c r="CH15" s="3"/>
      <c r="CI15" s="3"/>
      <c r="CJ15" s="13">
        <f t="shared" si="6"/>
        <v>18</v>
      </c>
      <c r="CK15" s="3">
        <v>17</v>
      </c>
      <c r="CL15" s="3">
        <v>18</v>
      </c>
      <c r="CM15" s="3"/>
      <c r="CN15" s="3"/>
      <c r="CO15" s="14">
        <f t="shared" si="22"/>
        <v>18</v>
      </c>
      <c r="CP15" s="3">
        <v>18</v>
      </c>
      <c r="CQ15" s="3">
        <v>18</v>
      </c>
      <c r="CR15" s="3"/>
      <c r="CS15" s="3"/>
      <c r="CT15" s="15">
        <f t="shared" si="7"/>
        <v>18</v>
      </c>
      <c r="CU15" s="16">
        <f t="shared" si="8"/>
        <v>309</v>
      </c>
      <c r="CV15" s="16">
        <f t="shared" si="9"/>
        <v>310</v>
      </c>
      <c r="CW15" s="16"/>
      <c r="CX15" s="15"/>
      <c r="CY15" s="16">
        <f t="shared" si="21"/>
        <v>0</v>
      </c>
      <c r="CZ15" s="24"/>
      <c r="DA15" s="25"/>
    </row>
    <row r="16" spans="1:105" s="18" customFormat="1" ht="15" customHeight="1">
      <c r="A16" s="19">
        <f t="shared" si="11"/>
        <v>15</v>
      </c>
      <c r="B16" s="2" t="s">
        <v>16</v>
      </c>
      <c r="C16" s="28" t="s">
        <v>161</v>
      </c>
      <c r="D16" s="2" t="s">
        <v>5</v>
      </c>
      <c r="E16" s="3">
        <v>16</v>
      </c>
      <c r="F16" s="3">
        <v>15</v>
      </c>
      <c r="G16" s="3"/>
      <c r="H16" s="3"/>
      <c r="I16" s="3">
        <v>18</v>
      </c>
      <c r="J16" s="3">
        <v>18</v>
      </c>
      <c r="K16" s="3">
        <v>17</v>
      </c>
      <c r="L16" s="3">
        <v>18</v>
      </c>
      <c r="M16" s="3">
        <v>18</v>
      </c>
      <c r="N16" s="3">
        <v>18</v>
      </c>
      <c r="O16" s="3">
        <v>18</v>
      </c>
      <c r="P16" s="3">
        <v>18</v>
      </c>
      <c r="Q16" s="3">
        <v>16</v>
      </c>
      <c r="R16" s="3">
        <v>17</v>
      </c>
      <c r="S16" s="3"/>
      <c r="T16" s="3"/>
      <c r="U16" s="3">
        <v>14</v>
      </c>
      <c r="V16" s="3">
        <v>15</v>
      </c>
      <c r="W16" s="3"/>
      <c r="X16" s="3"/>
      <c r="Y16" s="5">
        <f t="shared" si="12"/>
        <v>16</v>
      </c>
      <c r="Z16" s="5">
        <f t="shared" si="13"/>
        <v>17</v>
      </c>
      <c r="AA16" s="3">
        <v>16</v>
      </c>
      <c r="AB16" s="3">
        <v>15</v>
      </c>
      <c r="AC16" s="3">
        <v>12</v>
      </c>
      <c r="AD16" s="3"/>
      <c r="AE16" s="3">
        <v>14</v>
      </c>
      <c r="AF16" s="3">
        <v>14</v>
      </c>
      <c r="AG16" s="3">
        <v>13</v>
      </c>
      <c r="AH16" s="3"/>
      <c r="AI16" s="3">
        <v>14</v>
      </c>
      <c r="AJ16" s="3">
        <v>14</v>
      </c>
      <c r="AK16" s="3"/>
      <c r="AL16" s="3"/>
      <c r="AM16" s="3">
        <v>15</v>
      </c>
      <c r="AN16" s="3">
        <v>14</v>
      </c>
      <c r="AO16" s="3">
        <v>14</v>
      </c>
      <c r="AP16" s="3"/>
      <c r="AQ16" s="6">
        <f t="shared" si="14"/>
        <v>15</v>
      </c>
      <c r="AR16" s="6">
        <f t="shared" si="15"/>
        <v>14</v>
      </c>
      <c r="AS16" s="3">
        <v>14</v>
      </c>
      <c r="AT16" s="3">
        <v>14</v>
      </c>
      <c r="AU16" s="3"/>
      <c r="AV16" s="3"/>
      <c r="AW16" s="3">
        <v>16</v>
      </c>
      <c r="AX16" s="3">
        <v>15</v>
      </c>
      <c r="AY16" s="3"/>
      <c r="AZ16" s="3"/>
      <c r="BA16" s="3">
        <v>18</v>
      </c>
      <c r="BB16" s="3">
        <v>18</v>
      </c>
      <c r="BC16" s="3">
        <v>18</v>
      </c>
      <c r="BD16" s="3">
        <v>18</v>
      </c>
      <c r="BE16" s="7">
        <f t="shared" si="16"/>
        <v>16</v>
      </c>
      <c r="BF16" s="7">
        <f t="shared" si="17"/>
        <v>16</v>
      </c>
      <c r="BG16" s="3">
        <v>15</v>
      </c>
      <c r="BH16" s="3">
        <v>15</v>
      </c>
      <c r="BI16" s="3">
        <v>14</v>
      </c>
      <c r="BJ16" s="3"/>
      <c r="BK16" s="3">
        <v>14</v>
      </c>
      <c r="BL16" s="3">
        <v>15</v>
      </c>
      <c r="BM16" s="3">
        <v>16</v>
      </c>
      <c r="BN16" s="3"/>
      <c r="BO16" s="8">
        <f t="shared" si="18"/>
        <v>15</v>
      </c>
      <c r="BP16" s="8">
        <f t="shared" si="19"/>
        <v>15</v>
      </c>
      <c r="BQ16" s="3">
        <v>15</v>
      </c>
      <c r="BR16" s="3">
        <v>15</v>
      </c>
      <c r="BS16" s="3"/>
      <c r="BT16" s="3"/>
      <c r="BU16" s="10">
        <f t="shared" si="20"/>
        <v>15</v>
      </c>
      <c r="BV16" s="3">
        <v>15</v>
      </c>
      <c r="BW16" s="3">
        <v>15</v>
      </c>
      <c r="BX16" s="3"/>
      <c r="BY16" s="3"/>
      <c r="BZ16" s="11">
        <f t="shared" si="3"/>
        <v>15</v>
      </c>
      <c r="CA16" s="3">
        <v>15</v>
      </c>
      <c r="CB16" s="3">
        <v>15</v>
      </c>
      <c r="CC16" s="3"/>
      <c r="CD16" s="3"/>
      <c r="CE16" s="12">
        <f t="shared" si="5"/>
        <v>15</v>
      </c>
      <c r="CF16" s="3">
        <v>15</v>
      </c>
      <c r="CG16" s="3">
        <v>15</v>
      </c>
      <c r="CH16" s="3"/>
      <c r="CI16" s="3"/>
      <c r="CJ16" s="13">
        <f t="shared" si="6"/>
        <v>15</v>
      </c>
      <c r="CK16" s="3">
        <v>15</v>
      </c>
      <c r="CL16" s="3">
        <v>15</v>
      </c>
      <c r="CM16" s="3"/>
      <c r="CN16" s="3"/>
      <c r="CO16" s="14">
        <f t="shared" si="22"/>
        <v>15</v>
      </c>
      <c r="CP16" s="3">
        <v>15</v>
      </c>
      <c r="CQ16" s="3">
        <v>15</v>
      </c>
      <c r="CR16" s="3"/>
      <c r="CS16" s="3"/>
      <c r="CT16" s="15">
        <f t="shared" si="7"/>
        <v>15</v>
      </c>
      <c r="CU16" s="16">
        <f t="shared" si="8"/>
        <v>293</v>
      </c>
      <c r="CV16" s="16">
        <f t="shared" si="9"/>
        <v>292</v>
      </c>
      <c r="CW16" s="16"/>
      <c r="CX16" s="15"/>
      <c r="CY16" s="16">
        <f t="shared" si="21"/>
        <v>625</v>
      </c>
      <c r="CZ16" s="17"/>
    </row>
    <row r="17" spans="1:105" s="18" customFormat="1" ht="15" customHeight="1">
      <c r="A17" s="19">
        <f t="shared" si="11"/>
        <v>16</v>
      </c>
      <c r="B17" s="85" t="s">
        <v>17</v>
      </c>
      <c r="C17" s="28" t="s">
        <v>161</v>
      </c>
      <c r="D17" s="20" t="s">
        <v>5</v>
      </c>
      <c r="E17" s="21"/>
      <c r="F17" s="21"/>
      <c r="G17" s="21"/>
      <c r="H17" s="21"/>
      <c r="I17" s="21"/>
      <c r="J17" s="21"/>
      <c r="K17" s="21"/>
      <c r="L17" s="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5" t="e">
        <f t="shared" si="12"/>
        <v>#DIV/0!</v>
      </c>
      <c r="Z17" s="5" t="e">
        <f t="shared" si="13"/>
        <v>#DIV/0!</v>
      </c>
      <c r="AA17" s="21"/>
      <c r="AB17" s="21"/>
      <c r="AC17" s="21">
        <v>11</v>
      </c>
      <c r="AD17" s="21"/>
      <c r="AE17" s="21"/>
      <c r="AF17" s="21"/>
      <c r="AG17" s="21">
        <v>15</v>
      </c>
      <c r="AH17" s="21"/>
      <c r="AI17" s="21"/>
      <c r="AJ17" s="21"/>
      <c r="AK17" s="21"/>
      <c r="AL17" s="21"/>
      <c r="AM17" s="21"/>
      <c r="AN17" s="21"/>
      <c r="AO17" s="21">
        <v>11</v>
      </c>
      <c r="AP17" s="21"/>
      <c r="AQ17" s="6" t="e">
        <f t="shared" si="14"/>
        <v>#DIV/0!</v>
      </c>
      <c r="AR17" s="6" t="e">
        <f t="shared" si="15"/>
        <v>#DIV/0!</v>
      </c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7" t="e">
        <f t="shared" si="16"/>
        <v>#DIV/0!</v>
      </c>
      <c r="BF17" s="7" t="e">
        <f t="shared" si="17"/>
        <v>#DIV/0!</v>
      </c>
      <c r="BG17" s="21"/>
      <c r="BH17" s="21"/>
      <c r="BI17" s="21">
        <v>16</v>
      </c>
      <c r="BJ17" s="21"/>
      <c r="BK17" s="21"/>
      <c r="BL17" s="21"/>
      <c r="BM17" s="21">
        <v>18</v>
      </c>
      <c r="BN17" s="21"/>
      <c r="BO17" s="8" t="e">
        <f t="shared" si="18"/>
        <v>#DIV/0!</v>
      </c>
      <c r="BP17" s="8" t="e">
        <f t="shared" si="19"/>
        <v>#DIV/0!</v>
      </c>
      <c r="BQ17" s="21"/>
      <c r="BR17" s="21"/>
      <c r="BS17" s="21"/>
      <c r="BT17" s="21"/>
      <c r="BU17" s="10" t="e">
        <f t="shared" si="20"/>
        <v>#DIV/0!</v>
      </c>
      <c r="BV17" s="21"/>
      <c r="BW17" s="21"/>
      <c r="BX17" s="21"/>
      <c r="BY17" s="21"/>
      <c r="BZ17" s="23" t="e">
        <f t="shared" si="3"/>
        <v>#DIV/0!</v>
      </c>
      <c r="CA17" s="21"/>
      <c r="CB17" s="21"/>
      <c r="CC17" s="21"/>
      <c r="CD17" s="21"/>
      <c r="CE17" s="23" t="e">
        <f t="shared" si="5"/>
        <v>#DIV/0!</v>
      </c>
      <c r="CF17" s="21"/>
      <c r="CG17" s="21"/>
      <c r="CH17" s="21"/>
      <c r="CI17" s="21"/>
      <c r="CJ17" s="23" t="e">
        <f t="shared" si="6"/>
        <v>#DIV/0!</v>
      </c>
      <c r="CK17" s="21"/>
      <c r="CL17" s="21"/>
      <c r="CM17" s="21"/>
      <c r="CN17" s="21"/>
      <c r="CO17" s="23" t="e">
        <f t="shared" si="22"/>
        <v>#DIV/0!</v>
      </c>
      <c r="CP17" s="21"/>
      <c r="CQ17" s="21"/>
      <c r="CR17" s="21"/>
      <c r="CS17" s="21"/>
      <c r="CT17" s="15" t="e">
        <f t="shared" si="7"/>
        <v>#DIV/0!</v>
      </c>
      <c r="CU17" s="16">
        <f t="shared" si="8"/>
        <v>0</v>
      </c>
      <c r="CV17" s="16">
        <f t="shared" si="9"/>
        <v>0</v>
      </c>
      <c r="CW17" s="16"/>
      <c r="CX17" s="15"/>
      <c r="CY17" s="16">
        <f t="shared" si="21"/>
        <v>625</v>
      </c>
      <c r="CZ17" s="17"/>
    </row>
    <row r="18" spans="1:105" s="18" customFormat="1" ht="15" customHeight="1">
      <c r="A18" s="19">
        <f t="shared" si="11"/>
        <v>17</v>
      </c>
      <c r="B18" s="2" t="s">
        <v>18</v>
      </c>
      <c r="C18" s="28" t="s">
        <v>161</v>
      </c>
      <c r="D18" s="2" t="s">
        <v>5</v>
      </c>
      <c r="E18" s="3">
        <v>16</v>
      </c>
      <c r="F18" s="3">
        <v>18</v>
      </c>
      <c r="G18" s="3"/>
      <c r="H18" s="3"/>
      <c r="I18" s="3">
        <v>17</v>
      </c>
      <c r="J18" s="3">
        <v>17</v>
      </c>
      <c r="K18" s="3">
        <v>17</v>
      </c>
      <c r="L18" s="3">
        <v>17</v>
      </c>
      <c r="M18" s="3">
        <v>18</v>
      </c>
      <c r="N18" s="3">
        <v>18</v>
      </c>
      <c r="O18" s="3">
        <v>18</v>
      </c>
      <c r="P18" s="3">
        <v>18</v>
      </c>
      <c r="Q18" s="3">
        <v>16</v>
      </c>
      <c r="R18" s="3">
        <v>17</v>
      </c>
      <c r="S18" s="3"/>
      <c r="T18" s="3"/>
      <c r="U18" s="3">
        <v>16</v>
      </c>
      <c r="V18" s="3">
        <v>17</v>
      </c>
      <c r="W18" s="3"/>
      <c r="X18" s="3"/>
      <c r="Y18" s="5">
        <f t="shared" si="12"/>
        <v>17</v>
      </c>
      <c r="Z18" s="5">
        <f t="shared" si="13"/>
        <v>17</v>
      </c>
      <c r="AA18" s="3">
        <v>13</v>
      </c>
      <c r="AB18" s="3">
        <v>13</v>
      </c>
      <c r="AC18" s="3">
        <v>17</v>
      </c>
      <c r="AD18" s="3"/>
      <c r="AE18" s="3">
        <v>19</v>
      </c>
      <c r="AF18" s="3">
        <v>16</v>
      </c>
      <c r="AG18" s="3">
        <v>18</v>
      </c>
      <c r="AH18" s="3"/>
      <c r="AI18" s="3">
        <v>15</v>
      </c>
      <c r="AJ18" s="3">
        <v>15</v>
      </c>
      <c r="AK18" s="3"/>
      <c r="AL18" s="3"/>
      <c r="AM18" s="3">
        <v>15</v>
      </c>
      <c r="AN18" s="3">
        <v>14</v>
      </c>
      <c r="AO18" s="3">
        <v>14</v>
      </c>
      <c r="AP18" s="3"/>
      <c r="AQ18" s="6">
        <f t="shared" si="14"/>
        <v>16</v>
      </c>
      <c r="AR18" s="6">
        <f t="shared" si="15"/>
        <v>15</v>
      </c>
      <c r="AS18" s="3">
        <v>15</v>
      </c>
      <c r="AT18" s="3">
        <v>16</v>
      </c>
      <c r="AU18" s="3"/>
      <c r="AV18" s="3"/>
      <c r="AW18" s="3">
        <v>16</v>
      </c>
      <c r="AX18" s="3">
        <v>17</v>
      </c>
      <c r="AY18" s="3"/>
      <c r="AZ18" s="3"/>
      <c r="BA18" s="3">
        <v>17</v>
      </c>
      <c r="BB18" s="3">
        <v>18</v>
      </c>
      <c r="BC18" s="3">
        <v>17</v>
      </c>
      <c r="BD18" s="3">
        <v>17</v>
      </c>
      <c r="BE18" s="7">
        <f t="shared" si="16"/>
        <v>16</v>
      </c>
      <c r="BF18" s="7">
        <f t="shared" si="17"/>
        <v>17</v>
      </c>
      <c r="BG18" s="3">
        <v>16</v>
      </c>
      <c r="BH18" s="3">
        <v>17</v>
      </c>
      <c r="BI18" s="3">
        <v>18</v>
      </c>
      <c r="BJ18" s="3"/>
      <c r="BK18" s="3">
        <v>16</v>
      </c>
      <c r="BL18" s="3">
        <v>17</v>
      </c>
      <c r="BM18" s="3">
        <v>18</v>
      </c>
      <c r="BN18" s="3"/>
      <c r="BO18" s="8">
        <f t="shared" si="18"/>
        <v>16</v>
      </c>
      <c r="BP18" s="8">
        <f t="shared" si="19"/>
        <v>17</v>
      </c>
      <c r="BQ18" s="3">
        <v>17</v>
      </c>
      <c r="BR18" s="3">
        <v>17</v>
      </c>
      <c r="BS18" s="3"/>
      <c r="BT18" s="3"/>
      <c r="BU18" s="10">
        <f t="shared" si="20"/>
        <v>17</v>
      </c>
      <c r="BV18" s="3">
        <v>17</v>
      </c>
      <c r="BW18" s="3">
        <v>17</v>
      </c>
      <c r="BX18" s="3"/>
      <c r="BY18" s="3"/>
      <c r="BZ18" s="11">
        <f t="shared" si="3"/>
        <v>17</v>
      </c>
      <c r="CA18" s="3">
        <v>17</v>
      </c>
      <c r="CB18" s="3">
        <v>18</v>
      </c>
      <c r="CC18" s="3"/>
      <c r="CD18" s="3"/>
      <c r="CE18" s="12">
        <f t="shared" si="5"/>
        <v>18</v>
      </c>
      <c r="CF18" s="3">
        <v>17</v>
      </c>
      <c r="CG18" s="3">
        <v>17</v>
      </c>
      <c r="CH18" s="3"/>
      <c r="CI18" s="3"/>
      <c r="CJ18" s="13">
        <f t="shared" si="6"/>
        <v>17</v>
      </c>
      <c r="CK18" s="3">
        <v>16</v>
      </c>
      <c r="CL18" s="3">
        <v>17</v>
      </c>
      <c r="CM18" s="3"/>
      <c r="CN18" s="3"/>
      <c r="CO18" s="14">
        <f t="shared" si="22"/>
        <v>17</v>
      </c>
      <c r="CP18" s="3">
        <v>17</v>
      </c>
      <c r="CQ18" s="3">
        <v>17</v>
      </c>
      <c r="CR18" s="3"/>
      <c r="CS18" s="3"/>
      <c r="CT18" s="15">
        <f t="shared" si="7"/>
        <v>17</v>
      </c>
      <c r="CU18" s="16">
        <f t="shared" si="8"/>
        <v>309</v>
      </c>
      <c r="CV18" s="16">
        <f t="shared" si="9"/>
        <v>316</v>
      </c>
      <c r="CW18" s="16"/>
      <c r="CX18" s="15"/>
      <c r="CY18" s="16">
        <f t="shared" si="21"/>
        <v>591</v>
      </c>
      <c r="CZ18" s="17"/>
    </row>
    <row r="19" spans="1:105" s="18" customFormat="1" ht="15" customHeight="1">
      <c r="A19" s="19">
        <f t="shared" si="11"/>
        <v>18</v>
      </c>
      <c r="B19" s="2" t="s">
        <v>19</v>
      </c>
      <c r="C19" s="28" t="s">
        <v>161</v>
      </c>
      <c r="D19" s="2" t="s">
        <v>1</v>
      </c>
      <c r="E19" s="3">
        <v>15</v>
      </c>
      <c r="F19" s="3">
        <v>16</v>
      </c>
      <c r="G19" s="3"/>
      <c r="H19" s="3"/>
      <c r="I19" s="3">
        <v>18</v>
      </c>
      <c r="J19" s="3">
        <v>18</v>
      </c>
      <c r="K19" s="3">
        <v>18</v>
      </c>
      <c r="L19" s="3">
        <v>18</v>
      </c>
      <c r="M19" s="3">
        <v>18</v>
      </c>
      <c r="N19" s="3">
        <v>18</v>
      </c>
      <c r="O19" s="3">
        <v>18</v>
      </c>
      <c r="P19" s="3">
        <v>18</v>
      </c>
      <c r="Q19" s="3">
        <v>14</v>
      </c>
      <c r="R19" s="3">
        <v>18</v>
      </c>
      <c r="S19" s="3"/>
      <c r="T19" s="3"/>
      <c r="U19" s="3">
        <v>14</v>
      </c>
      <c r="V19" s="3">
        <v>15</v>
      </c>
      <c r="W19" s="3"/>
      <c r="X19" s="3"/>
      <c r="Y19" s="5">
        <f t="shared" si="12"/>
        <v>16</v>
      </c>
      <c r="Z19" s="5">
        <f t="shared" si="13"/>
        <v>17</v>
      </c>
      <c r="AA19" s="3">
        <v>17</v>
      </c>
      <c r="AB19" s="3">
        <v>15</v>
      </c>
      <c r="AC19" s="3">
        <v>12</v>
      </c>
      <c r="AD19" s="3"/>
      <c r="AE19" s="3">
        <v>16</v>
      </c>
      <c r="AF19" s="3">
        <v>15</v>
      </c>
      <c r="AG19" s="3">
        <v>16</v>
      </c>
      <c r="AH19" s="3"/>
      <c r="AI19" s="3">
        <v>18</v>
      </c>
      <c r="AJ19" s="3">
        <v>19</v>
      </c>
      <c r="AK19" s="3"/>
      <c r="AL19" s="3"/>
      <c r="AM19" s="3">
        <v>16</v>
      </c>
      <c r="AN19" s="3">
        <v>15</v>
      </c>
      <c r="AO19" s="3">
        <v>14</v>
      </c>
      <c r="AP19" s="3"/>
      <c r="AQ19" s="6">
        <f t="shared" si="14"/>
        <v>17</v>
      </c>
      <c r="AR19" s="6">
        <f t="shared" si="15"/>
        <v>16</v>
      </c>
      <c r="AS19" s="3">
        <v>14</v>
      </c>
      <c r="AT19" s="3">
        <v>14</v>
      </c>
      <c r="AU19" s="3"/>
      <c r="AV19" s="3"/>
      <c r="AW19" s="3">
        <v>17</v>
      </c>
      <c r="AX19" s="3">
        <v>17</v>
      </c>
      <c r="AY19" s="3"/>
      <c r="AZ19" s="3"/>
      <c r="BA19" s="3">
        <v>18</v>
      </c>
      <c r="BB19" s="3">
        <v>18</v>
      </c>
      <c r="BC19" s="3">
        <v>17</v>
      </c>
      <c r="BD19" s="3">
        <v>17</v>
      </c>
      <c r="BE19" s="7">
        <f t="shared" si="16"/>
        <v>16</v>
      </c>
      <c r="BF19" s="7">
        <f t="shared" si="17"/>
        <v>16</v>
      </c>
      <c r="BG19" s="3">
        <v>16</v>
      </c>
      <c r="BH19" s="3">
        <v>17</v>
      </c>
      <c r="BI19" s="3">
        <v>12</v>
      </c>
      <c r="BJ19" s="3"/>
      <c r="BK19" s="3">
        <v>16</v>
      </c>
      <c r="BL19" s="3">
        <v>17</v>
      </c>
      <c r="BM19" s="3">
        <v>14</v>
      </c>
      <c r="BN19" s="3"/>
      <c r="BO19" s="8">
        <f t="shared" si="18"/>
        <v>16</v>
      </c>
      <c r="BP19" s="8">
        <f t="shared" si="19"/>
        <v>17</v>
      </c>
      <c r="BQ19" s="3">
        <v>17</v>
      </c>
      <c r="BR19" s="3">
        <v>17</v>
      </c>
      <c r="BS19" s="3"/>
      <c r="BT19" s="3"/>
      <c r="BU19" s="10">
        <f t="shared" si="20"/>
        <v>17</v>
      </c>
      <c r="BV19" s="3">
        <v>17</v>
      </c>
      <c r="BW19" s="3">
        <v>17</v>
      </c>
      <c r="BX19" s="3"/>
      <c r="BY19" s="3"/>
      <c r="BZ19" s="11">
        <f t="shared" si="3"/>
        <v>17</v>
      </c>
      <c r="CA19" s="3">
        <v>17</v>
      </c>
      <c r="CB19" s="3">
        <v>14</v>
      </c>
      <c r="CC19" s="3"/>
      <c r="CD19" s="3"/>
      <c r="CE19" s="12">
        <f t="shared" si="5"/>
        <v>16</v>
      </c>
      <c r="CF19" s="3">
        <v>17</v>
      </c>
      <c r="CG19" s="3">
        <v>17</v>
      </c>
      <c r="CH19" s="3"/>
      <c r="CI19" s="3"/>
      <c r="CJ19" s="13">
        <f t="shared" si="6"/>
        <v>17</v>
      </c>
      <c r="CK19" s="3">
        <v>16</v>
      </c>
      <c r="CL19" s="3">
        <v>17</v>
      </c>
      <c r="CM19" s="3"/>
      <c r="CN19" s="3"/>
      <c r="CO19" s="14">
        <f t="shared" si="22"/>
        <v>17</v>
      </c>
      <c r="CP19" s="3">
        <v>17</v>
      </c>
      <c r="CQ19" s="3">
        <v>17</v>
      </c>
      <c r="CR19" s="3"/>
      <c r="CS19" s="3"/>
      <c r="CT19" s="15">
        <f t="shared" si="7"/>
        <v>17</v>
      </c>
      <c r="CU19" s="16">
        <f t="shared" si="8"/>
        <v>311</v>
      </c>
      <c r="CV19" s="16">
        <f t="shared" si="9"/>
        <v>314</v>
      </c>
      <c r="CW19" s="16"/>
      <c r="CX19" s="15"/>
      <c r="CY19" s="16">
        <f t="shared" si="21"/>
        <v>597</v>
      </c>
      <c r="CZ19" s="17"/>
    </row>
    <row r="20" spans="1:105" s="18" customFormat="1" ht="15" customHeight="1">
      <c r="A20" s="19">
        <f t="shared" si="11"/>
        <v>19</v>
      </c>
      <c r="B20" s="2" t="s">
        <v>20</v>
      </c>
      <c r="C20" s="28" t="s">
        <v>161</v>
      </c>
      <c r="D20" s="2" t="s">
        <v>1</v>
      </c>
      <c r="E20" s="3">
        <v>17</v>
      </c>
      <c r="F20" s="3">
        <v>18</v>
      </c>
      <c r="G20" s="3"/>
      <c r="H20" s="3"/>
      <c r="I20" s="3">
        <v>16</v>
      </c>
      <c r="J20" s="3">
        <v>16</v>
      </c>
      <c r="K20" s="3">
        <v>16</v>
      </c>
      <c r="L20" s="3">
        <v>16</v>
      </c>
      <c r="M20" s="3">
        <v>17</v>
      </c>
      <c r="N20" s="3">
        <v>16</v>
      </c>
      <c r="O20" s="3">
        <v>16</v>
      </c>
      <c r="P20" s="3">
        <v>16</v>
      </c>
      <c r="Q20" s="3">
        <v>18</v>
      </c>
      <c r="R20" s="3">
        <v>18</v>
      </c>
      <c r="S20" s="3"/>
      <c r="T20" s="3"/>
      <c r="U20" s="3">
        <v>18</v>
      </c>
      <c r="V20" s="3">
        <v>18</v>
      </c>
      <c r="W20" s="3"/>
      <c r="X20" s="3"/>
      <c r="Y20" s="5">
        <f t="shared" si="12"/>
        <v>17</v>
      </c>
      <c r="Z20" s="5">
        <f t="shared" si="13"/>
        <v>17</v>
      </c>
      <c r="AA20" s="3">
        <v>17</v>
      </c>
      <c r="AB20" s="3">
        <v>15</v>
      </c>
      <c r="AC20" s="3">
        <v>17</v>
      </c>
      <c r="AD20" s="3"/>
      <c r="AE20" s="3">
        <v>14</v>
      </c>
      <c r="AF20" s="3">
        <v>14</v>
      </c>
      <c r="AG20" s="3">
        <v>15</v>
      </c>
      <c r="AH20" s="3"/>
      <c r="AI20" s="3">
        <v>14</v>
      </c>
      <c r="AJ20" s="3">
        <v>14</v>
      </c>
      <c r="AK20" s="3"/>
      <c r="AL20" s="3"/>
      <c r="AM20" s="3">
        <v>13</v>
      </c>
      <c r="AN20" s="3">
        <v>13</v>
      </c>
      <c r="AO20" s="3">
        <v>13</v>
      </c>
      <c r="AP20" s="3"/>
      <c r="AQ20" s="6">
        <f t="shared" si="14"/>
        <v>15</v>
      </c>
      <c r="AR20" s="6">
        <f t="shared" si="15"/>
        <v>14</v>
      </c>
      <c r="AS20" s="3">
        <v>14</v>
      </c>
      <c r="AT20" s="3">
        <v>14</v>
      </c>
      <c r="AU20" s="3"/>
      <c r="AV20" s="3"/>
      <c r="AW20" s="3">
        <v>14</v>
      </c>
      <c r="AX20" s="3">
        <v>15</v>
      </c>
      <c r="AY20" s="3"/>
      <c r="AZ20" s="3"/>
      <c r="BA20" s="3">
        <v>16</v>
      </c>
      <c r="BB20" s="3">
        <v>17</v>
      </c>
      <c r="BC20" s="3">
        <v>16</v>
      </c>
      <c r="BD20" s="3">
        <v>16</v>
      </c>
      <c r="BE20" s="7">
        <f t="shared" si="16"/>
        <v>15</v>
      </c>
      <c r="BF20" s="7">
        <f t="shared" si="17"/>
        <v>15</v>
      </c>
      <c r="BG20" s="3">
        <v>15</v>
      </c>
      <c r="BH20" s="3">
        <v>15</v>
      </c>
      <c r="BI20" s="3">
        <v>14</v>
      </c>
      <c r="BJ20" s="3"/>
      <c r="BK20" s="3">
        <v>16</v>
      </c>
      <c r="BL20" s="3">
        <v>15</v>
      </c>
      <c r="BM20" s="3">
        <v>16</v>
      </c>
      <c r="BN20" s="3"/>
      <c r="BO20" s="8">
        <f t="shared" si="18"/>
        <v>16</v>
      </c>
      <c r="BP20" s="8">
        <f t="shared" si="19"/>
        <v>15</v>
      </c>
      <c r="BQ20" s="3">
        <v>15</v>
      </c>
      <c r="BR20" s="3">
        <v>15</v>
      </c>
      <c r="BS20" s="3"/>
      <c r="BT20" s="3"/>
      <c r="BU20" s="10">
        <f t="shared" si="20"/>
        <v>15</v>
      </c>
      <c r="BV20" s="3">
        <v>15</v>
      </c>
      <c r="BW20" s="3">
        <v>15</v>
      </c>
      <c r="BX20" s="3"/>
      <c r="BY20" s="3"/>
      <c r="BZ20" s="11">
        <f t="shared" si="3"/>
        <v>15</v>
      </c>
      <c r="CA20" s="3">
        <v>15</v>
      </c>
      <c r="CB20" s="3">
        <v>18</v>
      </c>
      <c r="CC20" s="3"/>
      <c r="CD20" s="3"/>
      <c r="CE20" s="12">
        <f t="shared" si="5"/>
        <v>17</v>
      </c>
      <c r="CF20" s="3">
        <v>15</v>
      </c>
      <c r="CG20" s="3">
        <v>15</v>
      </c>
      <c r="CH20" s="3"/>
      <c r="CI20" s="3"/>
      <c r="CJ20" s="13">
        <f t="shared" si="6"/>
        <v>15</v>
      </c>
      <c r="CK20" s="3">
        <v>16</v>
      </c>
      <c r="CL20" s="3">
        <v>15</v>
      </c>
      <c r="CM20" s="3"/>
      <c r="CN20" s="3"/>
      <c r="CO20" s="14">
        <f t="shared" si="22"/>
        <v>16</v>
      </c>
      <c r="CP20" s="3">
        <v>15</v>
      </c>
      <c r="CQ20" s="3">
        <v>15</v>
      </c>
      <c r="CR20" s="3"/>
      <c r="CS20" s="3"/>
      <c r="CT20" s="15">
        <f t="shared" si="7"/>
        <v>15</v>
      </c>
      <c r="CU20" s="16">
        <f t="shared" si="8"/>
        <v>295</v>
      </c>
      <c r="CV20" s="16">
        <f t="shared" si="9"/>
        <v>296</v>
      </c>
      <c r="CW20" s="16"/>
      <c r="CX20" s="15"/>
      <c r="CY20" s="16">
        <f t="shared" si="21"/>
        <v>623</v>
      </c>
      <c r="CZ20" s="17"/>
    </row>
    <row r="21" spans="1:105" s="18" customFormat="1" ht="15" customHeight="1">
      <c r="A21" s="19">
        <f t="shared" si="11"/>
        <v>20</v>
      </c>
      <c r="B21" s="2" t="s">
        <v>21</v>
      </c>
      <c r="C21" s="28" t="s">
        <v>161</v>
      </c>
      <c r="D21" s="2" t="s">
        <v>5</v>
      </c>
      <c r="E21" s="3">
        <v>16</v>
      </c>
      <c r="F21" s="3">
        <v>16</v>
      </c>
      <c r="G21" s="3"/>
      <c r="H21" s="3"/>
      <c r="I21" s="3">
        <v>16</v>
      </c>
      <c r="J21" s="3">
        <v>16</v>
      </c>
      <c r="K21" s="3">
        <v>16</v>
      </c>
      <c r="L21" s="3">
        <v>16</v>
      </c>
      <c r="M21" s="3">
        <v>16</v>
      </c>
      <c r="N21" s="3">
        <v>16</v>
      </c>
      <c r="O21" s="3">
        <v>16</v>
      </c>
      <c r="P21" s="3">
        <v>16</v>
      </c>
      <c r="Q21" s="3">
        <v>15</v>
      </c>
      <c r="R21" s="3">
        <v>16</v>
      </c>
      <c r="S21" s="3"/>
      <c r="T21" s="3"/>
      <c r="U21" s="3">
        <v>16</v>
      </c>
      <c r="V21" s="3">
        <v>17</v>
      </c>
      <c r="W21" s="3"/>
      <c r="X21" s="3"/>
      <c r="Y21" s="5">
        <f t="shared" si="12"/>
        <v>16</v>
      </c>
      <c r="Z21" s="5">
        <f t="shared" si="13"/>
        <v>16</v>
      </c>
      <c r="AA21" s="3">
        <v>17</v>
      </c>
      <c r="AB21" s="3">
        <v>16</v>
      </c>
      <c r="AC21" s="3">
        <v>15</v>
      </c>
      <c r="AD21" s="3"/>
      <c r="AE21" s="3">
        <v>15</v>
      </c>
      <c r="AF21" s="3">
        <v>15</v>
      </c>
      <c r="AG21" s="3">
        <v>8</v>
      </c>
      <c r="AH21" s="3"/>
      <c r="AI21" s="3">
        <v>14</v>
      </c>
      <c r="AJ21" s="3">
        <v>14</v>
      </c>
      <c r="AK21" s="3"/>
      <c r="AL21" s="3"/>
      <c r="AM21" s="3">
        <v>15</v>
      </c>
      <c r="AN21" s="3">
        <v>14</v>
      </c>
      <c r="AO21" s="3">
        <v>14</v>
      </c>
      <c r="AP21" s="3"/>
      <c r="AQ21" s="6">
        <f t="shared" si="14"/>
        <v>15</v>
      </c>
      <c r="AR21" s="6">
        <f t="shared" si="15"/>
        <v>15</v>
      </c>
      <c r="AS21" s="3">
        <v>14</v>
      </c>
      <c r="AT21" s="3">
        <v>14</v>
      </c>
      <c r="AU21" s="3"/>
      <c r="AV21" s="3"/>
      <c r="AW21" s="3">
        <v>16</v>
      </c>
      <c r="AX21" s="3">
        <v>16</v>
      </c>
      <c r="AY21" s="3"/>
      <c r="AZ21" s="3"/>
      <c r="BA21" s="3">
        <v>16</v>
      </c>
      <c r="BB21" s="3">
        <v>16</v>
      </c>
      <c r="BC21" s="3">
        <v>16</v>
      </c>
      <c r="BD21" s="3">
        <v>16</v>
      </c>
      <c r="BE21" s="7">
        <f t="shared" si="16"/>
        <v>15</v>
      </c>
      <c r="BF21" s="7">
        <f t="shared" si="17"/>
        <v>15</v>
      </c>
      <c r="BG21" s="3">
        <v>17</v>
      </c>
      <c r="BH21" s="3">
        <v>16</v>
      </c>
      <c r="BI21" s="3">
        <v>14</v>
      </c>
      <c r="BJ21" s="3"/>
      <c r="BK21" s="3">
        <v>15</v>
      </c>
      <c r="BL21" s="3">
        <v>16</v>
      </c>
      <c r="BM21" s="3">
        <v>12</v>
      </c>
      <c r="BN21" s="3"/>
      <c r="BO21" s="8">
        <f t="shared" si="18"/>
        <v>16</v>
      </c>
      <c r="BP21" s="8">
        <f t="shared" si="19"/>
        <v>16</v>
      </c>
      <c r="BQ21" s="3">
        <v>16</v>
      </c>
      <c r="BR21" s="3">
        <v>16</v>
      </c>
      <c r="BS21" s="3"/>
      <c r="BT21" s="3"/>
      <c r="BU21" s="10">
        <f t="shared" si="20"/>
        <v>16</v>
      </c>
      <c r="BV21" s="3">
        <v>16</v>
      </c>
      <c r="BW21" s="3">
        <v>16</v>
      </c>
      <c r="BX21" s="3"/>
      <c r="BY21" s="3"/>
      <c r="BZ21" s="11">
        <f t="shared" si="3"/>
        <v>16</v>
      </c>
      <c r="CA21" s="3">
        <v>16</v>
      </c>
      <c r="CB21" s="3">
        <v>15</v>
      </c>
      <c r="CC21" s="3"/>
      <c r="CD21" s="3"/>
      <c r="CE21" s="12">
        <f t="shared" si="5"/>
        <v>16</v>
      </c>
      <c r="CF21" s="3">
        <v>16</v>
      </c>
      <c r="CG21" s="3">
        <v>18</v>
      </c>
      <c r="CH21" s="3"/>
      <c r="CI21" s="3"/>
      <c r="CJ21" s="13">
        <f t="shared" si="6"/>
        <v>17</v>
      </c>
      <c r="CK21" s="3">
        <v>16</v>
      </c>
      <c r="CL21" s="3">
        <v>16</v>
      </c>
      <c r="CM21" s="3"/>
      <c r="CN21" s="3"/>
      <c r="CO21" s="14">
        <f t="shared" si="22"/>
        <v>16</v>
      </c>
      <c r="CP21" s="3">
        <v>16</v>
      </c>
      <c r="CQ21" s="3">
        <v>16</v>
      </c>
      <c r="CR21" s="3"/>
      <c r="CS21" s="3"/>
      <c r="CT21" s="15">
        <f t="shared" si="7"/>
        <v>16</v>
      </c>
      <c r="CU21" s="16">
        <f t="shared" si="8"/>
        <v>298</v>
      </c>
      <c r="CV21" s="16">
        <f t="shared" si="9"/>
        <v>299</v>
      </c>
      <c r="CW21" s="16"/>
      <c r="CX21" s="15"/>
      <c r="CY21" s="16">
        <f t="shared" si="21"/>
        <v>589</v>
      </c>
      <c r="CZ21" s="17"/>
    </row>
    <row r="22" spans="1:105" s="18" customFormat="1" ht="15" customHeight="1">
      <c r="A22" s="19">
        <f t="shared" si="11"/>
        <v>21</v>
      </c>
      <c r="B22" s="2" t="s">
        <v>22</v>
      </c>
      <c r="C22" s="28" t="s">
        <v>161</v>
      </c>
      <c r="D22" s="2" t="s">
        <v>1</v>
      </c>
      <c r="E22" s="3">
        <v>16</v>
      </c>
      <c r="F22" s="3">
        <v>15</v>
      </c>
      <c r="G22" s="3"/>
      <c r="H22" s="3"/>
      <c r="I22" s="3">
        <v>15</v>
      </c>
      <c r="J22" s="3">
        <v>15</v>
      </c>
      <c r="K22" s="3">
        <v>15</v>
      </c>
      <c r="L22" s="3">
        <v>15</v>
      </c>
      <c r="M22" s="3">
        <v>17</v>
      </c>
      <c r="N22" s="3">
        <v>16</v>
      </c>
      <c r="O22" s="3">
        <v>16</v>
      </c>
      <c r="P22" s="3">
        <v>16</v>
      </c>
      <c r="Q22" s="3">
        <v>17</v>
      </c>
      <c r="R22" s="3">
        <v>16</v>
      </c>
      <c r="S22" s="3"/>
      <c r="T22" s="3"/>
      <c r="U22" s="3">
        <v>15</v>
      </c>
      <c r="V22" s="3">
        <v>16</v>
      </c>
      <c r="W22" s="3"/>
      <c r="X22" s="3"/>
      <c r="Y22" s="5">
        <f t="shared" si="12"/>
        <v>16</v>
      </c>
      <c r="Z22" s="5">
        <f t="shared" si="13"/>
        <v>16</v>
      </c>
      <c r="AA22" s="3">
        <v>18</v>
      </c>
      <c r="AB22" s="3">
        <v>18</v>
      </c>
      <c r="AC22" s="3">
        <v>17</v>
      </c>
      <c r="AD22" s="3"/>
      <c r="AE22" s="3">
        <v>17</v>
      </c>
      <c r="AF22" s="3">
        <v>16</v>
      </c>
      <c r="AG22" s="3">
        <v>17</v>
      </c>
      <c r="AH22" s="3"/>
      <c r="AI22" s="3">
        <v>16</v>
      </c>
      <c r="AJ22" s="3">
        <v>17</v>
      </c>
      <c r="AK22" s="3"/>
      <c r="AL22" s="3"/>
      <c r="AM22" s="3">
        <v>15</v>
      </c>
      <c r="AN22" s="3">
        <v>15</v>
      </c>
      <c r="AO22" s="3">
        <v>14</v>
      </c>
      <c r="AP22" s="3"/>
      <c r="AQ22" s="6">
        <f t="shared" si="14"/>
        <v>17</v>
      </c>
      <c r="AR22" s="6">
        <f t="shared" si="15"/>
        <v>17</v>
      </c>
      <c r="AS22" s="3">
        <v>16</v>
      </c>
      <c r="AT22" s="3">
        <v>17</v>
      </c>
      <c r="AU22" s="3"/>
      <c r="AV22" s="3"/>
      <c r="AW22" s="3">
        <v>15</v>
      </c>
      <c r="AX22" s="3">
        <v>17</v>
      </c>
      <c r="AY22" s="3"/>
      <c r="AZ22" s="3"/>
      <c r="BA22" s="3">
        <v>15</v>
      </c>
      <c r="BB22" s="3">
        <v>17</v>
      </c>
      <c r="BC22" s="3">
        <v>17</v>
      </c>
      <c r="BD22" s="3">
        <v>17</v>
      </c>
      <c r="BE22" s="7">
        <f t="shared" si="16"/>
        <v>15</v>
      </c>
      <c r="BF22" s="7">
        <f t="shared" si="17"/>
        <v>17</v>
      </c>
      <c r="BG22" s="3">
        <v>16</v>
      </c>
      <c r="BH22" s="3">
        <v>17</v>
      </c>
      <c r="BI22" s="3">
        <v>18</v>
      </c>
      <c r="BJ22" s="3"/>
      <c r="BK22" s="3">
        <v>16</v>
      </c>
      <c r="BL22" s="3">
        <v>17</v>
      </c>
      <c r="BM22" s="3">
        <v>16</v>
      </c>
      <c r="BN22" s="3"/>
      <c r="BO22" s="8">
        <f t="shared" si="18"/>
        <v>16</v>
      </c>
      <c r="BP22" s="8">
        <f t="shared" si="19"/>
        <v>17</v>
      </c>
      <c r="BQ22" s="3">
        <v>17</v>
      </c>
      <c r="BR22" s="3">
        <v>17</v>
      </c>
      <c r="BS22" s="3"/>
      <c r="BT22" s="3"/>
      <c r="BU22" s="10">
        <f t="shared" si="20"/>
        <v>17</v>
      </c>
      <c r="BV22" s="3">
        <v>17</v>
      </c>
      <c r="BW22" s="3">
        <v>17</v>
      </c>
      <c r="BX22" s="3"/>
      <c r="BY22" s="3"/>
      <c r="BZ22" s="11">
        <f t="shared" si="3"/>
        <v>17</v>
      </c>
      <c r="CA22" s="3">
        <v>17</v>
      </c>
      <c r="CB22" s="3">
        <v>18</v>
      </c>
      <c r="CC22" s="3"/>
      <c r="CD22" s="3"/>
      <c r="CE22" s="12">
        <f t="shared" si="5"/>
        <v>18</v>
      </c>
      <c r="CF22" s="3">
        <v>17</v>
      </c>
      <c r="CG22" s="3">
        <v>17</v>
      </c>
      <c r="CH22" s="3"/>
      <c r="CI22" s="3"/>
      <c r="CJ22" s="13">
        <f t="shared" si="6"/>
        <v>17</v>
      </c>
      <c r="CK22" s="3">
        <v>16</v>
      </c>
      <c r="CL22" s="3">
        <v>17</v>
      </c>
      <c r="CM22" s="3"/>
      <c r="CN22" s="3"/>
      <c r="CO22" s="14">
        <f t="shared" si="22"/>
        <v>17</v>
      </c>
      <c r="CP22" s="3">
        <v>17</v>
      </c>
      <c r="CQ22" s="3">
        <v>17</v>
      </c>
      <c r="CR22" s="3"/>
      <c r="CS22" s="3"/>
      <c r="CT22" s="15">
        <f t="shared" si="7"/>
        <v>17</v>
      </c>
      <c r="CU22" s="16">
        <f t="shared" si="8"/>
        <v>308</v>
      </c>
      <c r="CV22" s="16">
        <f t="shared" si="9"/>
        <v>315</v>
      </c>
      <c r="CW22" s="16"/>
      <c r="CX22" s="15"/>
      <c r="CY22" s="16">
        <f t="shared" si="21"/>
        <v>565</v>
      </c>
      <c r="CZ22" s="17"/>
    </row>
    <row r="23" spans="1:105" s="40" customFormat="1" ht="15" customHeight="1">
      <c r="A23" s="19">
        <f t="shared" si="11"/>
        <v>22</v>
      </c>
      <c r="B23" s="83" t="s">
        <v>23</v>
      </c>
      <c r="C23" s="28" t="s">
        <v>161</v>
      </c>
      <c r="D23" s="30" t="s">
        <v>5</v>
      </c>
      <c r="E23" s="31">
        <v>16</v>
      </c>
      <c r="F23" s="31">
        <v>16</v>
      </c>
      <c r="G23" s="31"/>
      <c r="H23" s="31"/>
      <c r="I23" s="31">
        <v>18</v>
      </c>
      <c r="J23" s="31">
        <v>18</v>
      </c>
      <c r="K23" s="31">
        <v>18</v>
      </c>
      <c r="L23" s="31">
        <v>18</v>
      </c>
      <c r="M23" s="31">
        <v>18</v>
      </c>
      <c r="N23" s="31">
        <v>18</v>
      </c>
      <c r="O23" s="31">
        <v>17</v>
      </c>
      <c r="P23" s="31">
        <v>18</v>
      </c>
      <c r="Q23" s="31">
        <v>14</v>
      </c>
      <c r="R23" s="31">
        <v>17</v>
      </c>
      <c r="S23" s="31"/>
      <c r="T23" s="31"/>
      <c r="U23" s="31"/>
      <c r="V23" s="31"/>
      <c r="W23" s="31"/>
      <c r="X23" s="31"/>
      <c r="Y23" s="5">
        <f t="shared" si="12"/>
        <v>17</v>
      </c>
      <c r="Z23" s="5">
        <f t="shared" si="13"/>
        <v>17</v>
      </c>
      <c r="AA23" s="31">
        <v>14</v>
      </c>
      <c r="AB23" s="31">
        <v>13</v>
      </c>
      <c r="AC23" s="31">
        <v>16</v>
      </c>
      <c r="AD23" s="31"/>
      <c r="AE23" s="31">
        <v>19</v>
      </c>
      <c r="AF23" s="31">
        <v>16</v>
      </c>
      <c r="AG23" s="31">
        <v>12</v>
      </c>
      <c r="AH23" s="31"/>
      <c r="AI23" s="31">
        <v>16</v>
      </c>
      <c r="AJ23" s="31">
        <v>17</v>
      </c>
      <c r="AK23" s="31"/>
      <c r="AL23" s="31"/>
      <c r="AM23" s="31">
        <v>18</v>
      </c>
      <c r="AN23" s="31">
        <v>16</v>
      </c>
      <c r="AO23" s="31">
        <v>14</v>
      </c>
      <c r="AP23" s="31"/>
      <c r="AQ23" s="6">
        <f t="shared" si="14"/>
        <v>17</v>
      </c>
      <c r="AR23" s="6">
        <f t="shared" si="15"/>
        <v>16</v>
      </c>
      <c r="AS23" s="31">
        <v>13</v>
      </c>
      <c r="AT23" s="31">
        <v>13</v>
      </c>
      <c r="AU23" s="31"/>
      <c r="AV23" s="31"/>
      <c r="AW23" s="31">
        <v>15</v>
      </c>
      <c r="AX23" s="31">
        <v>17</v>
      </c>
      <c r="AY23" s="31"/>
      <c r="AZ23" s="31"/>
      <c r="BA23" s="31">
        <v>18</v>
      </c>
      <c r="BB23" s="31">
        <v>18</v>
      </c>
      <c r="BC23" s="31">
        <v>17</v>
      </c>
      <c r="BD23" s="31">
        <v>17</v>
      </c>
      <c r="BE23" s="7">
        <f t="shared" si="16"/>
        <v>15</v>
      </c>
      <c r="BF23" s="7">
        <f t="shared" si="17"/>
        <v>16</v>
      </c>
      <c r="BG23" s="31">
        <v>15</v>
      </c>
      <c r="BH23" s="31">
        <v>17</v>
      </c>
      <c r="BI23" s="31">
        <v>16</v>
      </c>
      <c r="BJ23" s="31"/>
      <c r="BK23" s="31">
        <v>16</v>
      </c>
      <c r="BL23" s="31">
        <v>17</v>
      </c>
      <c r="BM23" s="31">
        <v>14</v>
      </c>
      <c r="BN23" s="31"/>
      <c r="BO23" s="8">
        <f t="shared" si="18"/>
        <v>16</v>
      </c>
      <c r="BP23" s="8">
        <f t="shared" si="19"/>
        <v>17</v>
      </c>
      <c r="BQ23" s="31">
        <v>17</v>
      </c>
      <c r="BR23" s="31">
        <v>17</v>
      </c>
      <c r="BS23" s="31"/>
      <c r="BT23" s="31"/>
      <c r="BU23" s="10">
        <f t="shared" si="20"/>
        <v>17</v>
      </c>
      <c r="BV23" s="31">
        <v>17</v>
      </c>
      <c r="BW23" s="31">
        <v>17</v>
      </c>
      <c r="BX23" s="31"/>
      <c r="BY23" s="31"/>
      <c r="BZ23" s="34">
        <f t="shared" si="3"/>
        <v>17</v>
      </c>
      <c r="CA23" s="31">
        <v>17</v>
      </c>
      <c r="CB23" s="31">
        <v>14</v>
      </c>
      <c r="CC23" s="31"/>
      <c r="CD23" s="31"/>
      <c r="CE23" s="35">
        <f t="shared" si="5"/>
        <v>16</v>
      </c>
      <c r="CF23" s="31">
        <v>17</v>
      </c>
      <c r="CG23" s="31">
        <v>17</v>
      </c>
      <c r="CH23" s="31"/>
      <c r="CI23" s="31"/>
      <c r="CJ23" s="36">
        <f t="shared" si="6"/>
        <v>17</v>
      </c>
      <c r="CK23" s="31">
        <v>16</v>
      </c>
      <c r="CL23" s="31">
        <v>17</v>
      </c>
      <c r="CM23" s="31"/>
      <c r="CN23" s="31"/>
      <c r="CO23" s="37">
        <f t="shared" si="22"/>
        <v>17</v>
      </c>
      <c r="CP23" s="31">
        <v>17</v>
      </c>
      <c r="CQ23" s="31">
        <v>17</v>
      </c>
      <c r="CR23" s="31"/>
      <c r="CS23" s="31"/>
      <c r="CT23" s="15">
        <f t="shared" si="7"/>
        <v>17</v>
      </c>
      <c r="CU23" s="16">
        <f t="shared" si="8"/>
        <v>294</v>
      </c>
      <c r="CV23" s="16">
        <f t="shared" si="9"/>
        <v>295</v>
      </c>
      <c r="CW23" s="16"/>
      <c r="CX23" s="15"/>
      <c r="CY23" s="16">
        <f t="shared" si="21"/>
        <v>474</v>
      </c>
      <c r="CZ23" s="41"/>
    </row>
    <row r="24" spans="1:105" s="18" customFormat="1" ht="15" customHeight="1">
      <c r="A24" s="19">
        <f t="shared" si="11"/>
        <v>23</v>
      </c>
      <c r="B24" s="2" t="s">
        <v>24</v>
      </c>
      <c r="C24" s="28" t="s">
        <v>161</v>
      </c>
      <c r="D24" s="2" t="s">
        <v>5</v>
      </c>
      <c r="E24" s="3">
        <v>16</v>
      </c>
      <c r="F24" s="3">
        <v>16</v>
      </c>
      <c r="G24" s="3"/>
      <c r="H24" s="3"/>
      <c r="I24" s="3">
        <v>16</v>
      </c>
      <c r="J24" s="3">
        <v>16</v>
      </c>
      <c r="K24" s="3">
        <v>16</v>
      </c>
      <c r="L24" s="3">
        <v>16</v>
      </c>
      <c r="M24" s="3">
        <v>15</v>
      </c>
      <c r="N24" s="3">
        <v>16</v>
      </c>
      <c r="O24" s="3">
        <v>16</v>
      </c>
      <c r="P24" s="3">
        <v>16</v>
      </c>
      <c r="Q24" s="3">
        <v>14</v>
      </c>
      <c r="R24" s="3">
        <v>15</v>
      </c>
      <c r="S24" s="3"/>
      <c r="T24" s="3"/>
      <c r="U24" s="3">
        <v>15</v>
      </c>
      <c r="V24" s="3">
        <v>16</v>
      </c>
      <c r="W24" s="3"/>
      <c r="X24" s="3"/>
      <c r="Y24" s="5">
        <f t="shared" si="12"/>
        <v>15</v>
      </c>
      <c r="Z24" s="5">
        <f t="shared" si="13"/>
        <v>16</v>
      </c>
      <c r="AA24" s="3">
        <v>15</v>
      </c>
      <c r="AB24" s="3">
        <v>14</v>
      </c>
      <c r="AC24" s="3">
        <v>15</v>
      </c>
      <c r="AD24" s="3"/>
      <c r="AE24" s="3">
        <v>13</v>
      </c>
      <c r="AF24" s="3">
        <v>13</v>
      </c>
      <c r="AG24" s="3">
        <v>17</v>
      </c>
      <c r="AH24" s="3"/>
      <c r="AI24" s="3">
        <v>14</v>
      </c>
      <c r="AJ24" s="3">
        <v>14</v>
      </c>
      <c r="AK24" s="3"/>
      <c r="AL24" s="3"/>
      <c r="AM24" s="3">
        <v>13</v>
      </c>
      <c r="AN24" s="3">
        <v>13</v>
      </c>
      <c r="AO24" s="3">
        <v>13</v>
      </c>
      <c r="AP24" s="3"/>
      <c r="AQ24" s="6">
        <f t="shared" si="14"/>
        <v>14</v>
      </c>
      <c r="AR24" s="6">
        <f t="shared" si="15"/>
        <v>14</v>
      </c>
      <c r="AS24" s="3">
        <v>14</v>
      </c>
      <c r="AT24" s="3">
        <v>14</v>
      </c>
      <c r="AU24" s="3"/>
      <c r="AV24" s="3"/>
      <c r="AW24" s="3">
        <v>14</v>
      </c>
      <c r="AX24" s="3">
        <v>15</v>
      </c>
      <c r="AY24" s="3"/>
      <c r="AZ24" s="3"/>
      <c r="BA24" s="3">
        <v>16</v>
      </c>
      <c r="BB24" s="3">
        <v>15</v>
      </c>
      <c r="BC24" s="3">
        <v>17</v>
      </c>
      <c r="BD24" s="3">
        <v>17</v>
      </c>
      <c r="BE24" s="7">
        <f t="shared" si="16"/>
        <v>15</v>
      </c>
      <c r="BF24" s="7">
        <f t="shared" si="17"/>
        <v>15</v>
      </c>
      <c r="BG24" s="3">
        <v>15</v>
      </c>
      <c r="BH24" s="3">
        <v>15</v>
      </c>
      <c r="BI24" s="3">
        <v>14</v>
      </c>
      <c r="BJ24" s="3"/>
      <c r="BK24" s="3">
        <v>15</v>
      </c>
      <c r="BL24" s="3">
        <v>15</v>
      </c>
      <c r="BM24" s="3">
        <v>16</v>
      </c>
      <c r="BN24" s="3"/>
      <c r="BO24" s="8">
        <f t="shared" si="18"/>
        <v>15</v>
      </c>
      <c r="BP24" s="8">
        <f t="shared" si="19"/>
        <v>15</v>
      </c>
      <c r="BQ24" s="3">
        <v>15</v>
      </c>
      <c r="BR24" s="3">
        <v>15</v>
      </c>
      <c r="BS24" s="3"/>
      <c r="BT24" s="3"/>
      <c r="BU24" s="10">
        <f t="shared" si="20"/>
        <v>15</v>
      </c>
      <c r="BV24" s="3">
        <v>15</v>
      </c>
      <c r="BW24" s="3">
        <v>15</v>
      </c>
      <c r="BX24" s="3"/>
      <c r="BY24" s="3"/>
      <c r="BZ24" s="11">
        <f t="shared" si="3"/>
        <v>15</v>
      </c>
      <c r="CA24" s="3">
        <v>15</v>
      </c>
      <c r="CB24" s="3">
        <v>18</v>
      </c>
      <c r="CC24" s="3"/>
      <c r="CD24" s="3"/>
      <c r="CE24" s="12">
        <f t="shared" si="5"/>
        <v>17</v>
      </c>
      <c r="CF24" s="3">
        <v>15</v>
      </c>
      <c r="CG24" s="3">
        <v>15</v>
      </c>
      <c r="CH24" s="3"/>
      <c r="CI24" s="3"/>
      <c r="CJ24" s="13">
        <f t="shared" si="6"/>
        <v>15</v>
      </c>
      <c r="CK24" s="3">
        <v>15</v>
      </c>
      <c r="CL24" s="3">
        <v>15</v>
      </c>
      <c r="CM24" s="3"/>
      <c r="CN24" s="3"/>
      <c r="CO24" s="14">
        <f t="shared" si="22"/>
        <v>15</v>
      </c>
      <c r="CP24" s="3">
        <v>15</v>
      </c>
      <c r="CQ24" s="3">
        <v>15</v>
      </c>
      <c r="CR24" s="3"/>
      <c r="CS24" s="3"/>
      <c r="CT24" s="15">
        <f t="shared" si="7"/>
        <v>15</v>
      </c>
      <c r="CU24" s="16">
        <f t="shared" si="8"/>
        <v>280</v>
      </c>
      <c r="CV24" s="16">
        <f t="shared" si="9"/>
        <v>285</v>
      </c>
      <c r="CW24" s="16"/>
      <c r="CX24" s="15"/>
      <c r="CY24" s="16">
        <f t="shared" si="21"/>
        <v>628</v>
      </c>
      <c r="CZ24" s="17"/>
    </row>
    <row r="25" spans="1:105" s="40" customFormat="1" ht="15" customHeight="1">
      <c r="A25" s="19">
        <f t="shared" si="11"/>
        <v>24</v>
      </c>
      <c r="B25" s="83" t="s">
        <v>25</v>
      </c>
      <c r="C25" s="28" t="s">
        <v>161</v>
      </c>
      <c r="D25" s="30" t="s">
        <v>5</v>
      </c>
      <c r="E25" s="31">
        <v>15</v>
      </c>
      <c r="F25" s="31">
        <v>16</v>
      </c>
      <c r="G25" s="31"/>
      <c r="H25" s="31"/>
      <c r="I25" s="31">
        <v>16</v>
      </c>
      <c r="J25" s="31">
        <v>16</v>
      </c>
      <c r="K25" s="31">
        <v>16</v>
      </c>
      <c r="L25" s="31"/>
      <c r="M25" s="31">
        <v>16</v>
      </c>
      <c r="N25" s="31">
        <v>16</v>
      </c>
      <c r="O25" s="31">
        <v>16</v>
      </c>
      <c r="P25" s="31"/>
      <c r="Q25" s="31">
        <v>13</v>
      </c>
      <c r="R25" s="31">
        <v>15</v>
      </c>
      <c r="S25" s="31"/>
      <c r="T25" s="31"/>
      <c r="U25" s="31">
        <v>13</v>
      </c>
      <c r="V25" s="31">
        <v>16</v>
      </c>
      <c r="W25" s="31"/>
      <c r="X25" s="31"/>
      <c r="Y25" s="5">
        <f t="shared" si="12"/>
        <v>15</v>
      </c>
      <c r="Z25" s="5">
        <f t="shared" si="13"/>
        <v>16</v>
      </c>
      <c r="AA25" s="31">
        <v>13</v>
      </c>
      <c r="AB25" s="31">
        <v>12</v>
      </c>
      <c r="AC25" s="31">
        <v>8</v>
      </c>
      <c r="AD25" s="31"/>
      <c r="AE25" s="31">
        <v>16</v>
      </c>
      <c r="AF25" s="31">
        <v>15</v>
      </c>
      <c r="AG25" s="31">
        <v>8</v>
      </c>
      <c r="AH25" s="31"/>
      <c r="AI25" s="31"/>
      <c r="AJ25" s="31"/>
      <c r="AK25" s="31"/>
      <c r="AL25" s="31"/>
      <c r="AM25" s="31">
        <v>13</v>
      </c>
      <c r="AN25" s="31">
        <v>14</v>
      </c>
      <c r="AO25" s="31">
        <v>8</v>
      </c>
      <c r="AP25" s="31"/>
      <c r="AQ25" s="6">
        <f t="shared" si="14"/>
        <v>14</v>
      </c>
      <c r="AR25" s="6">
        <f t="shared" si="15"/>
        <v>14</v>
      </c>
      <c r="AS25" s="31"/>
      <c r="AT25" s="31"/>
      <c r="AU25" s="31"/>
      <c r="AV25" s="31"/>
      <c r="AW25" s="31">
        <v>12</v>
      </c>
      <c r="AX25" s="31">
        <v>11</v>
      </c>
      <c r="AY25" s="31"/>
      <c r="AZ25" s="31"/>
      <c r="BA25" s="31">
        <v>16</v>
      </c>
      <c r="BB25" s="31">
        <v>16</v>
      </c>
      <c r="BC25" s="31">
        <v>16</v>
      </c>
      <c r="BD25" s="31"/>
      <c r="BE25" s="7">
        <f t="shared" si="16"/>
        <v>14</v>
      </c>
      <c r="BF25" s="7">
        <f t="shared" si="17"/>
        <v>14</v>
      </c>
      <c r="BG25" s="31">
        <v>13</v>
      </c>
      <c r="BH25" s="31">
        <v>11</v>
      </c>
      <c r="BI25" s="31"/>
      <c r="BJ25" s="31"/>
      <c r="BK25" s="31">
        <v>12</v>
      </c>
      <c r="BL25" s="31">
        <v>11</v>
      </c>
      <c r="BM25" s="31"/>
      <c r="BN25" s="31"/>
      <c r="BO25" s="8">
        <f t="shared" si="18"/>
        <v>13</v>
      </c>
      <c r="BP25" s="8">
        <f t="shared" si="19"/>
        <v>11</v>
      </c>
      <c r="BQ25" s="31">
        <v>14</v>
      </c>
      <c r="BR25" s="31">
        <v>14</v>
      </c>
      <c r="BS25" s="31"/>
      <c r="BT25" s="31"/>
      <c r="BU25" s="10">
        <f t="shared" si="20"/>
        <v>14</v>
      </c>
      <c r="BV25" s="31">
        <v>14</v>
      </c>
      <c r="BW25" s="31">
        <v>14</v>
      </c>
      <c r="BX25" s="31"/>
      <c r="BY25" s="31"/>
      <c r="BZ25" s="34">
        <f t="shared" si="3"/>
        <v>14</v>
      </c>
      <c r="CA25" s="31">
        <v>14</v>
      </c>
      <c r="CB25" s="31">
        <v>15</v>
      </c>
      <c r="CC25" s="31"/>
      <c r="CD25" s="31"/>
      <c r="CE25" s="35">
        <f t="shared" si="5"/>
        <v>15</v>
      </c>
      <c r="CF25" s="31">
        <v>14</v>
      </c>
      <c r="CG25" s="31">
        <v>14</v>
      </c>
      <c r="CH25" s="31"/>
      <c r="CI25" s="31"/>
      <c r="CJ25" s="36">
        <f t="shared" si="6"/>
        <v>14</v>
      </c>
      <c r="CK25" s="31">
        <v>13</v>
      </c>
      <c r="CL25" s="31">
        <v>11</v>
      </c>
      <c r="CM25" s="31"/>
      <c r="CN25" s="31"/>
      <c r="CO25" s="37">
        <f t="shared" si="22"/>
        <v>12</v>
      </c>
      <c r="CP25" s="31">
        <v>14</v>
      </c>
      <c r="CQ25" s="31">
        <v>14</v>
      </c>
      <c r="CR25" s="31"/>
      <c r="CS25" s="31"/>
      <c r="CT25" s="15">
        <f t="shared" si="7"/>
        <v>14</v>
      </c>
      <c r="CU25" s="16">
        <f t="shared" si="8"/>
        <v>237</v>
      </c>
      <c r="CV25" s="16">
        <f t="shared" si="9"/>
        <v>237</v>
      </c>
      <c r="CW25" s="16"/>
      <c r="CX25" s="15"/>
      <c r="CY25" s="16">
        <f t="shared" si="21"/>
        <v>473</v>
      </c>
      <c r="CZ25" s="41"/>
    </row>
    <row r="26" spans="1:105" s="18" customFormat="1" ht="15" customHeight="1">
      <c r="A26" s="19">
        <f t="shared" si="11"/>
        <v>25</v>
      </c>
      <c r="B26" s="2" t="s">
        <v>26</v>
      </c>
      <c r="C26" s="28" t="s">
        <v>161</v>
      </c>
      <c r="D26" s="2" t="s">
        <v>5</v>
      </c>
      <c r="E26" s="3">
        <v>17</v>
      </c>
      <c r="F26" s="3">
        <v>17</v>
      </c>
      <c r="G26" s="3"/>
      <c r="H26" s="3"/>
      <c r="I26" s="3">
        <v>16</v>
      </c>
      <c r="J26" s="3">
        <v>16</v>
      </c>
      <c r="K26" s="3">
        <v>16</v>
      </c>
      <c r="L26" s="3">
        <v>16</v>
      </c>
      <c r="M26" s="3">
        <v>17</v>
      </c>
      <c r="N26" s="3">
        <v>17</v>
      </c>
      <c r="O26" s="3">
        <v>17</v>
      </c>
      <c r="P26" s="3">
        <v>17</v>
      </c>
      <c r="Q26" s="3">
        <v>16</v>
      </c>
      <c r="R26" s="3">
        <v>17</v>
      </c>
      <c r="S26" s="3"/>
      <c r="T26" s="3"/>
      <c r="U26" s="3">
        <v>17</v>
      </c>
      <c r="V26" s="3">
        <v>17</v>
      </c>
      <c r="W26" s="3"/>
      <c r="X26" s="3"/>
      <c r="Y26" s="5">
        <f t="shared" si="12"/>
        <v>17</v>
      </c>
      <c r="Z26" s="5">
        <f t="shared" si="13"/>
        <v>17</v>
      </c>
      <c r="AA26" s="3">
        <v>12</v>
      </c>
      <c r="AB26" s="3">
        <v>14</v>
      </c>
      <c r="AC26" s="3">
        <v>13</v>
      </c>
      <c r="AD26" s="3"/>
      <c r="AE26" s="3">
        <v>19</v>
      </c>
      <c r="AF26" s="3">
        <v>16</v>
      </c>
      <c r="AG26" s="3">
        <v>18</v>
      </c>
      <c r="AH26" s="3"/>
      <c r="AI26" s="3">
        <v>16</v>
      </c>
      <c r="AJ26" s="3">
        <v>17</v>
      </c>
      <c r="AK26" s="3"/>
      <c r="AL26" s="3"/>
      <c r="AM26" s="3">
        <v>14</v>
      </c>
      <c r="AN26" s="3">
        <v>14</v>
      </c>
      <c r="AO26" s="3">
        <v>14</v>
      </c>
      <c r="AP26" s="3"/>
      <c r="AQ26" s="6">
        <f t="shared" si="14"/>
        <v>15</v>
      </c>
      <c r="AR26" s="6">
        <f t="shared" si="15"/>
        <v>15</v>
      </c>
      <c r="AS26" s="3">
        <v>15</v>
      </c>
      <c r="AT26" s="3">
        <v>15</v>
      </c>
      <c r="AU26" s="3"/>
      <c r="AV26" s="3"/>
      <c r="AW26" s="3">
        <v>16</v>
      </c>
      <c r="AX26" s="3">
        <v>18</v>
      </c>
      <c r="AY26" s="3"/>
      <c r="AZ26" s="3"/>
      <c r="BA26" s="3">
        <v>16</v>
      </c>
      <c r="BB26" s="3">
        <v>17</v>
      </c>
      <c r="BC26" s="3">
        <v>16</v>
      </c>
      <c r="BD26" s="3">
        <v>16</v>
      </c>
      <c r="BE26" s="7">
        <f t="shared" si="16"/>
        <v>16</v>
      </c>
      <c r="BF26" s="7">
        <f t="shared" si="17"/>
        <v>17</v>
      </c>
      <c r="BG26" s="3">
        <v>17</v>
      </c>
      <c r="BH26" s="3">
        <v>18</v>
      </c>
      <c r="BI26" s="3">
        <v>16</v>
      </c>
      <c r="BJ26" s="3"/>
      <c r="BK26" s="3">
        <v>17</v>
      </c>
      <c r="BL26" s="3">
        <v>18</v>
      </c>
      <c r="BM26" s="3">
        <v>18</v>
      </c>
      <c r="BN26" s="3"/>
      <c r="BO26" s="8">
        <f t="shared" si="18"/>
        <v>17</v>
      </c>
      <c r="BP26" s="8">
        <f t="shared" si="19"/>
        <v>18</v>
      </c>
      <c r="BQ26" s="3">
        <v>18</v>
      </c>
      <c r="BR26" s="3">
        <v>18</v>
      </c>
      <c r="BS26" s="3"/>
      <c r="BT26" s="3"/>
      <c r="BU26" s="10">
        <f t="shared" si="20"/>
        <v>18</v>
      </c>
      <c r="BV26" s="3">
        <v>18</v>
      </c>
      <c r="BW26" s="3">
        <v>18</v>
      </c>
      <c r="BX26" s="3"/>
      <c r="BY26" s="3"/>
      <c r="BZ26" s="11">
        <f t="shared" si="3"/>
        <v>18</v>
      </c>
      <c r="CA26" s="3">
        <v>18</v>
      </c>
      <c r="CB26" s="3">
        <v>14</v>
      </c>
      <c r="CC26" s="3"/>
      <c r="CD26" s="3"/>
      <c r="CE26" s="12">
        <f t="shared" si="5"/>
        <v>16</v>
      </c>
      <c r="CF26" s="3">
        <v>18</v>
      </c>
      <c r="CG26" s="3">
        <v>16</v>
      </c>
      <c r="CH26" s="3"/>
      <c r="CI26" s="3"/>
      <c r="CJ26" s="13">
        <f t="shared" si="6"/>
        <v>17</v>
      </c>
      <c r="CK26" s="3">
        <v>17</v>
      </c>
      <c r="CL26" s="3">
        <v>17</v>
      </c>
      <c r="CM26" s="3"/>
      <c r="CN26" s="3"/>
      <c r="CO26" s="14">
        <f t="shared" si="22"/>
        <v>17</v>
      </c>
      <c r="CP26" s="3">
        <v>18</v>
      </c>
      <c r="CQ26" s="3">
        <v>18</v>
      </c>
      <c r="CR26" s="3"/>
      <c r="CS26" s="3"/>
      <c r="CT26" s="15">
        <f t="shared" si="7"/>
        <v>18</v>
      </c>
      <c r="CU26" s="16">
        <f t="shared" si="8"/>
        <v>314</v>
      </c>
      <c r="CV26" s="16">
        <f t="shared" si="9"/>
        <v>314</v>
      </c>
      <c r="CW26" s="16"/>
      <c r="CX26" s="15"/>
      <c r="CY26" s="16">
        <f t="shared" si="21"/>
        <v>624</v>
      </c>
      <c r="CZ26" s="17"/>
    </row>
    <row r="27" spans="1:105" s="40" customFormat="1" ht="15" customHeight="1">
      <c r="A27" s="19">
        <f t="shared" si="11"/>
        <v>26</v>
      </c>
      <c r="B27" s="83" t="s">
        <v>27</v>
      </c>
      <c r="C27" s="28" t="s">
        <v>161</v>
      </c>
      <c r="D27" s="30" t="s">
        <v>1</v>
      </c>
      <c r="E27" s="31">
        <v>14</v>
      </c>
      <c r="F27" s="31">
        <v>15</v>
      </c>
      <c r="G27" s="31"/>
      <c r="H27" s="31"/>
      <c r="I27" s="31">
        <v>15</v>
      </c>
      <c r="J27" s="31">
        <v>15</v>
      </c>
      <c r="K27" s="31">
        <v>15</v>
      </c>
      <c r="L27" s="31">
        <v>15</v>
      </c>
      <c r="M27" s="31">
        <v>17</v>
      </c>
      <c r="N27" s="31">
        <v>16</v>
      </c>
      <c r="O27" s="31">
        <v>16</v>
      </c>
      <c r="P27" s="31">
        <v>16</v>
      </c>
      <c r="Q27" s="31">
        <v>13</v>
      </c>
      <c r="R27" s="31">
        <v>14</v>
      </c>
      <c r="S27" s="31"/>
      <c r="T27" s="31"/>
      <c r="U27" s="31">
        <v>15</v>
      </c>
      <c r="V27" s="31">
        <v>15</v>
      </c>
      <c r="W27" s="31"/>
      <c r="X27" s="31"/>
      <c r="Y27" s="5">
        <f t="shared" si="12"/>
        <v>15</v>
      </c>
      <c r="Z27" s="5">
        <f t="shared" si="13"/>
        <v>15</v>
      </c>
      <c r="AA27" s="31">
        <v>12</v>
      </c>
      <c r="AB27" s="31">
        <v>12</v>
      </c>
      <c r="AC27" s="31">
        <v>11</v>
      </c>
      <c r="AD27" s="31"/>
      <c r="AE27" s="31">
        <v>12</v>
      </c>
      <c r="AF27" s="31">
        <v>13</v>
      </c>
      <c r="AG27" s="31">
        <v>8</v>
      </c>
      <c r="AH27" s="31"/>
      <c r="AI27" s="31"/>
      <c r="AJ27" s="31"/>
      <c r="AK27" s="31"/>
      <c r="AL27" s="31"/>
      <c r="AM27" s="31">
        <v>12</v>
      </c>
      <c r="AN27" s="31">
        <v>13</v>
      </c>
      <c r="AO27" s="31">
        <v>13</v>
      </c>
      <c r="AP27" s="31"/>
      <c r="AQ27" s="6">
        <f t="shared" si="14"/>
        <v>12</v>
      </c>
      <c r="AR27" s="6">
        <f t="shared" si="15"/>
        <v>13</v>
      </c>
      <c r="AS27" s="31"/>
      <c r="AT27" s="31"/>
      <c r="AU27" s="31"/>
      <c r="AV27" s="31"/>
      <c r="AW27" s="31">
        <v>14</v>
      </c>
      <c r="AX27" s="31">
        <v>13</v>
      </c>
      <c r="AY27" s="31"/>
      <c r="AZ27" s="31"/>
      <c r="BA27" s="31">
        <v>15</v>
      </c>
      <c r="BB27" s="31">
        <v>17</v>
      </c>
      <c r="BC27" s="31">
        <v>12</v>
      </c>
      <c r="BD27" s="31">
        <v>12</v>
      </c>
      <c r="BE27" s="7">
        <f t="shared" si="16"/>
        <v>15</v>
      </c>
      <c r="BF27" s="7">
        <f t="shared" si="17"/>
        <v>15</v>
      </c>
      <c r="BG27" s="31">
        <v>14</v>
      </c>
      <c r="BH27" s="31">
        <v>13</v>
      </c>
      <c r="BI27" s="31">
        <v>12</v>
      </c>
      <c r="BJ27" s="31"/>
      <c r="BK27" s="31">
        <v>14</v>
      </c>
      <c r="BL27" s="31">
        <v>13</v>
      </c>
      <c r="BM27" s="31">
        <v>12</v>
      </c>
      <c r="BN27" s="31"/>
      <c r="BO27" s="8">
        <f t="shared" si="18"/>
        <v>14</v>
      </c>
      <c r="BP27" s="8">
        <f t="shared" si="19"/>
        <v>13</v>
      </c>
      <c r="BQ27" s="31">
        <v>13</v>
      </c>
      <c r="BR27" s="31">
        <v>13</v>
      </c>
      <c r="BS27" s="31"/>
      <c r="BT27" s="31"/>
      <c r="BU27" s="10">
        <f t="shared" si="20"/>
        <v>13</v>
      </c>
      <c r="BV27" s="31">
        <v>13</v>
      </c>
      <c r="BW27" s="31">
        <v>13</v>
      </c>
      <c r="BX27" s="31"/>
      <c r="BY27" s="31"/>
      <c r="BZ27" s="34">
        <f t="shared" si="3"/>
        <v>13</v>
      </c>
      <c r="CA27" s="31">
        <v>13</v>
      </c>
      <c r="CB27" s="31">
        <v>18</v>
      </c>
      <c r="CC27" s="31"/>
      <c r="CD27" s="31"/>
      <c r="CE27" s="35">
        <f t="shared" si="5"/>
        <v>16</v>
      </c>
      <c r="CF27" s="31">
        <v>13</v>
      </c>
      <c r="CG27" s="31">
        <v>14</v>
      </c>
      <c r="CH27" s="31"/>
      <c r="CI27" s="31"/>
      <c r="CJ27" s="36">
        <f t="shared" si="6"/>
        <v>14</v>
      </c>
      <c r="CK27" s="31">
        <v>14</v>
      </c>
      <c r="CL27" s="31">
        <v>13</v>
      </c>
      <c r="CM27" s="31"/>
      <c r="CN27" s="31"/>
      <c r="CO27" s="37">
        <f t="shared" si="22"/>
        <v>14</v>
      </c>
      <c r="CP27" s="31">
        <v>13</v>
      </c>
      <c r="CQ27" s="31">
        <v>13</v>
      </c>
      <c r="CR27" s="31"/>
      <c r="CS27" s="31"/>
      <c r="CT27" s="15">
        <f t="shared" si="7"/>
        <v>13</v>
      </c>
      <c r="CU27" s="16">
        <f t="shared" si="8"/>
        <v>233</v>
      </c>
      <c r="CV27" s="16">
        <f t="shared" si="9"/>
        <v>240</v>
      </c>
      <c r="CW27" s="16"/>
      <c r="CX27" s="15"/>
      <c r="CY27" s="16">
        <f t="shared" si="21"/>
        <v>335</v>
      </c>
      <c r="CZ27" s="38"/>
      <c r="DA27" s="39"/>
    </row>
    <row r="28" spans="1:105" s="18" customFormat="1" ht="15" customHeight="1">
      <c r="A28" s="19">
        <f t="shared" si="11"/>
        <v>27</v>
      </c>
      <c r="B28" s="2" t="s">
        <v>28</v>
      </c>
      <c r="C28" s="28" t="s">
        <v>161</v>
      </c>
      <c r="D28" s="2" t="s">
        <v>5</v>
      </c>
      <c r="E28" s="3">
        <v>17</v>
      </c>
      <c r="F28" s="3">
        <v>17</v>
      </c>
      <c r="G28" s="3"/>
      <c r="H28" s="3"/>
      <c r="I28" s="3">
        <v>16</v>
      </c>
      <c r="J28" s="3">
        <v>16</v>
      </c>
      <c r="K28" s="3">
        <v>16</v>
      </c>
      <c r="L28" s="3">
        <v>16</v>
      </c>
      <c r="M28" s="3">
        <v>15</v>
      </c>
      <c r="N28" s="3">
        <v>16</v>
      </c>
      <c r="O28" s="3">
        <v>16</v>
      </c>
      <c r="P28" s="3">
        <v>16</v>
      </c>
      <c r="Q28" s="3">
        <v>16</v>
      </c>
      <c r="R28" s="3">
        <v>17</v>
      </c>
      <c r="S28" s="3"/>
      <c r="T28" s="3"/>
      <c r="U28" s="3">
        <v>17</v>
      </c>
      <c r="V28" s="3">
        <v>17</v>
      </c>
      <c r="W28" s="3"/>
      <c r="X28" s="3"/>
      <c r="Y28" s="5">
        <f t="shared" si="12"/>
        <v>16</v>
      </c>
      <c r="Z28" s="5">
        <f t="shared" si="13"/>
        <v>17</v>
      </c>
      <c r="AA28" s="3">
        <v>13</v>
      </c>
      <c r="AB28" s="3">
        <v>12</v>
      </c>
      <c r="AC28" s="3">
        <v>16</v>
      </c>
      <c r="AD28" s="3"/>
      <c r="AE28" s="3">
        <v>17</v>
      </c>
      <c r="AF28" s="3">
        <v>16</v>
      </c>
      <c r="AG28" s="3">
        <v>17</v>
      </c>
      <c r="AH28" s="3"/>
      <c r="AI28" s="3">
        <v>15</v>
      </c>
      <c r="AJ28" s="3">
        <v>16</v>
      </c>
      <c r="AK28" s="3"/>
      <c r="AL28" s="3"/>
      <c r="AM28" s="3">
        <v>15</v>
      </c>
      <c r="AN28" s="3">
        <v>14</v>
      </c>
      <c r="AO28" s="3">
        <v>14</v>
      </c>
      <c r="AP28" s="3"/>
      <c r="AQ28" s="6">
        <f t="shared" si="14"/>
        <v>15</v>
      </c>
      <c r="AR28" s="6">
        <f t="shared" si="15"/>
        <v>15</v>
      </c>
      <c r="AS28" s="3">
        <v>16</v>
      </c>
      <c r="AT28" s="3">
        <v>16</v>
      </c>
      <c r="AU28" s="3"/>
      <c r="AV28" s="3"/>
      <c r="AW28" s="3">
        <v>16</v>
      </c>
      <c r="AX28" s="3">
        <v>18</v>
      </c>
      <c r="AY28" s="3"/>
      <c r="AZ28" s="3"/>
      <c r="BA28" s="3">
        <v>16</v>
      </c>
      <c r="BB28" s="3">
        <v>15</v>
      </c>
      <c r="BC28" s="3">
        <v>17</v>
      </c>
      <c r="BD28" s="3">
        <v>17</v>
      </c>
      <c r="BE28" s="7">
        <f t="shared" si="16"/>
        <v>16</v>
      </c>
      <c r="BF28" s="7">
        <f t="shared" si="17"/>
        <v>16</v>
      </c>
      <c r="BG28" s="3">
        <v>17</v>
      </c>
      <c r="BH28" s="3">
        <v>18</v>
      </c>
      <c r="BI28" s="3">
        <v>16</v>
      </c>
      <c r="BJ28" s="3"/>
      <c r="BK28" s="3">
        <v>17</v>
      </c>
      <c r="BL28" s="3">
        <v>18</v>
      </c>
      <c r="BM28" s="3">
        <v>16</v>
      </c>
      <c r="BN28" s="3"/>
      <c r="BO28" s="8">
        <f t="shared" si="18"/>
        <v>17</v>
      </c>
      <c r="BP28" s="8">
        <f t="shared" si="19"/>
        <v>18</v>
      </c>
      <c r="BQ28" s="3">
        <v>18</v>
      </c>
      <c r="BR28" s="3">
        <v>18</v>
      </c>
      <c r="BS28" s="3"/>
      <c r="BT28" s="3"/>
      <c r="BU28" s="10">
        <f t="shared" si="20"/>
        <v>18</v>
      </c>
      <c r="BV28" s="3">
        <v>18</v>
      </c>
      <c r="BW28" s="3">
        <v>18</v>
      </c>
      <c r="BX28" s="3"/>
      <c r="BY28" s="3"/>
      <c r="BZ28" s="11">
        <f t="shared" si="3"/>
        <v>18</v>
      </c>
      <c r="CA28" s="3">
        <v>18</v>
      </c>
      <c r="CB28" s="3">
        <v>15</v>
      </c>
      <c r="CC28" s="3"/>
      <c r="CD28" s="3"/>
      <c r="CE28" s="12">
        <f t="shared" si="5"/>
        <v>17</v>
      </c>
      <c r="CF28" s="3">
        <v>18</v>
      </c>
      <c r="CG28" s="3">
        <v>17</v>
      </c>
      <c r="CH28" s="3"/>
      <c r="CI28" s="3"/>
      <c r="CJ28" s="13">
        <f t="shared" si="6"/>
        <v>18</v>
      </c>
      <c r="CK28" s="3">
        <v>17</v>
      </c>
      <c r="CL28" s="3">
        <v>18</v>
      </c>
      <c r="CM28" s="3"/>
      <c r="CN28" s="3"/>
      <c r="CO28" s="14">
        <f t="shared" si="22"/>
        <v>18</v>
      </c>
      <c r="CP28" s="3">
        <v>18</v>
      </c>
      <c r="CQ28" s="3">
        <v>18</v>
      </c>
      <c r="CR28" s="3"/>
      <c r="CS28" s="3"/>
      <c r="CT28" s="15">
        <f t="shared" si="7"/>
        <v>18</v>
      </c>
      <c r="CU28" s="16">
        <f t="shared" si="8"/>
        <v>312</v>
      </c>
      <c r="CV28" s="16">
        <f t="shared" si="9"/>
        <v>312</v>
      </c>
      <c r="CW28" s="16"/>
      <c r="CX28" s="15"/>
      <c r="CY28" s="16">
        <f t="shared" si="21"/>
        <v>305</v>
      </c>
      <c r="CZ28" s="24"/>
      <c r="DA28" s="25"/>
    </row>
    <row r="29" spans="1:105" s="18" customFormat="1" ht="15" customHeight="1">
      <c r="A29" s="19">
        <f t="shared" si="11"/>
        <v>28</v>
      </c>
      <c r="B29" s="85" t="s">
        <v>29</v>
      </c>
      <c r="C29" s="28" t="s">
        <v>161</v>
      </c>
      <c r="D29" s="20" t="s">
        <v>1</v>
      </c>
      <c r="E29" s="21">
        <v>13</v>
      </c>
      <c r="F29" s="21">
        <v>13</v>
      </c>
      <c r="G29" s="21"/>
      <c r="H29" s="21"/>
      <c r="I29" s="21">
        <v>16</v>
      </c>
      <c r="J29" s="21">
        <v>16</v>
      </c>
      <c r="K29" s="21">
        <v>16</v>
      </c>
      <c r="L29" s="21"/>
      <c r="M29" s="21">
        <v>17</v>
      </c>
      <c r="N29" s="21">
        <v>16</v>
      </c>
      <c r="O29" s="21">
        <v>16</v>
      </c>
      <c r="P29" s="21"/>
      <c r="Q29" s="21">
        <v>14</v>
      </c>
      <c r="R29" s="21">
        <v>15</v>
      </c>
      <c r="S29" s="21"/>
      <c r="T29" s="21"/>
      <c r="U29" s="21">
        <v>14</v>
      </c>
      <c r="V29" s="21">
        <v>14</v>
      </c>
      <c r="W29" s="21"/>
      <c r="X29" s="21"/>
      <c r="Y29" s="5">
        <f t="shared" si="12"/>
        <v>15</v>
      </c>
      <c r="Z29" s="5">
        <f t="shared" si="13"/>
        <v>15</v>
      </c>
      <c r="AA29" s="21">
        <v>12</v>
      </c>
      <c r="AB29" s="21">
        <v>11</v>
      </c>
      <c r="AC29" s="21">
        <v>11</v>
      </c>
      <c r="AD29" s="21"/>
      <c r="AE29" s="21">
        <v>12</v>
      </c>
      <c r="AF29" s="21">
        <v>13</v>
      </c>
      <c r="AG29" s="21">
        <v>11</v>
      </c>
      <c r="AH29" s="21"/>
      <c r="AI29" s="21">
        <v>16</v>
      </c>
      <c r="AJ29" s="21">
        <v>16</v>
      </c>
      <c r="AK29" s="21"/>
      <c r="AL29" s="21"/>
      <c r="AM29" s="21">
        <v>13</v>
      </c>
      <c r="AN29" s="21">
        <v>13</v>
      </c>
      <c r="AO29" s="21">
        <v>13</v>
      </c>
      <c r="AP29" s="21"/>
      <c r="AQ29" s="6">
        <f t="shared" si="14"/>
        <v>13</v>
      </c>
      <c r="AR29" s="6">
        <f t="shared" si="15"/>
        <v>13</v>
      </c>
      <c r="AS29" s="21"/>
      <c r="AT29" s="21"/>
      <c r="AU29" s="21"/>
      <c r="AV29" s="21"/>
      <c r="AW29" s="21"/>
      <c r="AX29" s="21"/>
      <c r="AY29" s="21"/>
      <c r="AZ29" s="21"/>
      <c r="BA29" s="21">
        <v>16</v>
      </c>
      <c r="BB29" s="21">
        <v>17</v>
      </c>
      <c r="BC29" s="21">
        <v>17</v>
      </c>
      <c r="BD29" s="21"/>
      <c r="BE29" s="7">
        <f t="shared" si="16"/>
        <v>16</v>
      </c>
      <c r="BF29" s="7">
        <f t="shared" si="17"/>
        <v>17</v>
      </c>
      <c r="BG29" s="21">
        <v>12</v>
      </c>
      <c r="BH29" s="21">
        <v>12</v>
      </c>
      <c r="BI29" s="21">
        <v>12</v>
      </c>
      <c r="BJ29" s="21"/>
      <c r="BK29" s="21">
        <v>12</v>
      </c>
      <c r="BL29" s="21">
        <v>12</v>
      </c>
      <c r="BM29" s="21">
        <v>12</v>
      </c>
      <c r="BN29" s="21"/>
      <c r="BO29" s="8">
        <f t="shared" si="18"/>
        <v>12</v>
      </c>
      <c r="BP29" s="8">
        <f t="shared" si="19"/>
        <v>12</v>
      </c>
      <c r="BQ29" s="21"/>
      <c r="BR29" s="21"/>
      <c r="BS29" s="21"/>
      <c r="BT29" s="21"/>
      <c r="BU29" s="10" t="e">
        <f t="shared" si="20"/>
        <v>#DIV/0!</v>
      </c>
      <c r="BV29" s="21"/>
      <c r="BW29" s="21"/>
      <c r="BX29" s="21"/>
      <c r="BY29" s="21"/>
      <c r="BZ29" s="23" t="e">
        <f t="shared" si="3"/>
        <v>#DIV/0!</v>
      </c>
      <c r="CA29" s="21"/>
      <c r="CB29" s="21"/>
      <c r="CC29" s="21"/>
      <c r="CD29" s="21"/>
      <c r="CE29" s="23" t="e">
        <f t="shared" si="5"/>
        <v>#DIV/0!</v>
      </c>
      <c r="CF29" s="21"/>
      <c r="CG29" s="21"/>
      <c r="CH29" s="21"/>
      <c r="CI29" s="21"/>
      <c r="CJ29" s="23" t="e">
        <f t="shared" si="6"/>
        <v>#DIV/0!</v>
      </c>
      <c r="CK29" s="21"/>
      <c r="CL29" s="21"/>
      <c r="CM29" s="21"/>
      <c r="CN29" s="21"/>
      <c r="CO29" s="23" t="e">
        <f t="shared" si="22"/>
        <v>#DIV/0!</v>
      </c>
      <c r="CP29" s="21"/>
      <c r="CQ29" s="21"/>
      <c r="CR29" s="21"/>
      <c r="CS29" s="21"/>
      <c r="CT29" s="15" t="e">
        <f t="shared" si="7"/>
        <v>#DIV/0!</v>
      </c>
      <c r="CU29" s="16">
        <f t="shared" si="8"/>
        <v>167</v>
      </c>
      <c r="CV29" s="16">
        <f t="shared" si="9"/>
        <v>168</v>
      </c>
      <c r="CW29" s="16"/>
      <c r="CX29" s="15"/>
      <c r="CY29" s="16">
        <f t="shared" si="21"/>
        <v>561</v>
      </c>
      <c r="CZ29" s="17"/>
    </row>
    <row r="30" spans="1:105" s="18" customFormat="1" ht="14.25" customHeight="1">
      <c r="A30" s="19">
        <f t="shared" si="11"/>
        <v>29</v>
      </c>
      <c r="B30" s="85" t="s">
        <v>30</v>
      </c>
      <c r="C30" s="28" t="s">
        <v>161</v>
      </c>
      <c r="D30" s="20" t="s">
        <v>1</v>
      </c>
      <c r="E30" s="21">
        <v>13</v>
      </c>
      <c r="F30" s="21">
        <v>13</v>
      </c>
      <c r="G30" s="21"/>
      <c r="H30" s="21"/>
      <c r="I30" s="21">
        <v>16</v>
      </c>
      <c r="J30" s="21">
        <v>16</v>
      </c>
      <c r="K30" s="21">
        <v>8</v>
      </c>
      <c r="L30" s="21"/>
      <c r="M30" s="21">
        <v>17</v>
      </c>
      <c r="N30" s="21">
        <v>17</v>
      </c>
      <c r="O30" s="21">
        <v>8</v>
      </c>
      <c r="P30" s="21"/>
      <c r="Q30" s="21">
        <v>16</v>
      </c>
      <c r="R30" s="21">
        <v>16</v>
      </c>
      <c r="S30" s="21"/>
      <c r="T30" s="21"/>
      <c r="U30" s="21">
        <v>14</v>
      </c>
      <c r="V30" s="21">
        <v>13</v>
      </c>
      <c r="W30" s="21"/>
      <c r="X30" s="21"/>
      <c r="Y30" s="5">
        <f t="shared" si="12"/>
        <v>15</v>
      </c>
      <c r="Z30" s="5">
        <f t="shared" si="13"/>
        <v>15</v>
      </c>
      <c r="AA30" s="21">
        <v>12</v>
      </c>
      <c r="AB30" s="21">
        <v>12</v>
      </c>
      <c r="AC30" s="21">
        <v>8</v>
      </c>
      <c r="AD30" s="21"/>
      <c r="AE30" s="21">
        <v>12</v>
      </c>
      <c r="AF30" s="21">
        <v>12</v>
      </c>
      <c r="AG30" s="21">
        <v>8</v>
      </c>
      <c r="AH30" s="21"/>
      <c r="AI30" s="21">
        <v>12</v>
      </c>
      <c r="AJ30" s="21">
        <v>12</v>
      </c>
      <c r="AK30" s="21"/>
      <c r="AL30" s="21"/>
      <c r="AM30" s="21">
        <v>12</v>
      </c>
      <c r="AN30" s="21">
        <v>12</v>
      </c>
      <c r="AO30" s="21">
        <v>8</v>
      </c>
      <c r="AP30" s="21"/>
      <c r="AQ30" s="6">
        <f t="shared" si="14"/>
        <v>12</v>
      </c>
      <c r="AR30" s="6">
        <f t="shared" si="15"/>
        <v>12</v>
      </c>
      <c r="AS30" s="21">
        <v>12</v>
      </c>
      <c r="AT30" s="21">
        <v>13</v>
      </c>
      <c r="AU30" s="21"/>
      <c r="AV30" s="21"/>
      <c r="AW30" s="21"/>
      <c r="AX30" s="21"/>
      <c r="AY30" s="21"/>
      <c r="AZ30" s="21"/>
      <c r="BA30" s="21">
        <v>16</v>
      </c>
      <c r="BB30" s="21">
        <v>17</v>
      </c>
      <c r="BC30" s="21">
        <v>8</v>
      </c>
      <c r="BD30" s="21"/>
      <c r="BE30" s="7">
        <f t="shared" si="16"/>
        <v>14</v>
      </c>
      <c r="BF30" s="7">
        <f t="shared" si="17"/>
        <v>15</v>
      </c>
      <c r="BG30" s="21"/>
      <c r="BH30" s="21"/>
      <c r="BI30" s="21">
        <v>12</v>
      </c>
      <c r="BJ30" s="21"/>
      <c r="BK30" s="21"/>
      <c r="BL30" s="21"/>
      <c r="BM30" s="21">
        <v>12</v>
      </c>
      <c r="BN30" s="21"/>
      <c r="BO30" s="8" t="e">
        <f t="shared" si="18"/>
        <v>#DIV/0!</v>
      </c>
      <c r="BP30" s="8" t="e">
        <f t="shared" si="19"/>
        <v>#DIV/0!</v>
      </c>
      <c r="BQ30" s="21"/>
      <c r="BR30" s="21"/>
      <c r="BS30" s="21"/>
      <c r="BT30" s="21"/>
      <c r="BU30" s="10" t="e">
        <f t="shared" si="20"/>
        <v>#DIV/0!</v>
      </c>
      <c r="BV30" s="21"/>
      <c r="BW30" s="21"/>
      <c r="BX30" s="21"/>
      <c r="BY30" s="21"/>
      <c r="BZ30" s="23" t="e">
        <f t="shared" si="3"/>
        <v>#DIV/0!</v>
      </c>
      <c r="CA30" s="21"/>
      <c r="CB30" s="21"/>
      <c r="CC30" s="21"/>
      <c r="CD30" s="21"/>
      <c r="CE30" s="23" t="e">
        <f t="shared" si="5"/>
        <v>#DIV/0!</v>
      </c>
      <c r="CF30" s="21"/>
      <c r="CG30" s="21"/>
      <c r="CH30" s="21"/>
      <c r="CI30" s="21"/>
      <c r="CJ30" s="23" t="e">
        <f t="shared" si="6"/>
        <v>#DIV/0!</v>
      </c>
      <c r="CK30" s="21"/>
      <c r="CL30" s="21"/>
      <c r="CM30" s="21"/>
      <c r="CN30" s="21"/>
      <c r="CO30" s="23" t="e">
        <f t="shared" si="22"/>
        <v>#DIV/0!</v>
      </c>
      <c r="CP30" s="21"/>
      <c r="CQ30" s="21"/>
      <c r="CR30" s="21"/>
      <c r="CS30" s="21"/>
      <c r="CT30" s="15" t="e">
        <f t="shared" si="7"/>
        <v>#DIV/0!</v>
      </c>
      <c r="CU30" s="16">
        <f t="shared" si="8"/>
        <v>152</v>
      </c>
      <c r="CV30" s="16">
        <f t="shared" si="9"/>
        <v>153</v>
      </c>
      <c r="CW30" s="16"/>
      <c r="CX30" s="15"/>
      <c r="CY30" s="16">
        <f t="shared" si="21"/>
        <v>575</v>
      </c>
      <c r="CZ30" s="17"/>
    </row>
    <row r="31" spans="1:105" s="40" customFormat="1" ht="15.75" customHeight="1">
      <c r="A31" s="19">
        <f t="shared" si="11"/>
        <v>30</v>
      </c>
      <c r="B31" s="83" t="s">
        <v>31</v>
      </c>
      <c r="C31" s="28" t="s">
        <v>161</v>
      </c>
      <c r="D31" s="30" t="s">
        <v>5</v>
      </c>
      <c r="E31" s="31">
        <v>14</v>
      </c>
      <c r="F31" s="31">
        <v>16</v>
      </c>
      <c r="G31" s="31"/>
      <c r="H31" s="31"/>
      <c r="I31" s="31">
        <v>16</v>
      </c>
      <c r="J31" s="31">
        <v>16</v>
      </c>
      <c r="K31" s="31">
        <v>16</v>
      </c>
      <c r="L31" s="31">
        <v>16</v>
      </c>
      <c r="M31" s="31">
        <v>16</v>
      </c>
      <c r="N31" s="31">
        <v>17</v>
      </c>
      <c r="O31" s="31">
        <v>17</v>
      </c>
      <c r="P31" s="31">
        <v>17</v>
      </c>
      <c r="Q31" s="31">
        <v>14</v>
      </c>
      <c r="R31" s="31">
        <v>16</v>
      </c>
      <c r="S31" s="31"/>
      <c r="T31" s="31"/>
      <c r="U31" s="31">
        <v>14</v>
      </c>
      <c r="V31" s="31">
        <v>16</v>
      </c>
      <c r="W31" s="31"/>
      <c r="X31" s="31"/>
      <c r="Y31" s="5">
        <f t="shared" si="12"/>
        <v>15</v>
      </c>
      <c r="Z31" s="5">
        <f t="shared" si="13"/>
        <v>16</v>
      </c>
      <c r="AA31" s="31">
        <v>13</v>
      </c>
      <c r="AB31" s="31">
        <v>13</v>
      </c>
      <c r="AC31" s="31">
        <v>11</v>
      </c>
      <c r="AD31" s="31"/>
      <c r="AE31" s="31">
        <v>16</v>
      </c>
      <c r="AF31" s="31">
        <v>15</v>
      </c>
      <c r="AG31" s="31">
        <v>13</v>
      </c>
      <c r="AH31" s="31"/>
      <c r="AI31" s="31"/>
      <c r="AJ31" s="31"/>
      <c r="AK31" s="31"/>
      <c r="AL31" s="31"/>
      <c r="AM31" s="31">
        <v>13</v>
      </c>
      <c r="AN31" s="31">
        <v>13</v>
      </c>
      <c r="AO31" s="31">
        <v>13</v>
      </c>
      <c r="AP31" s="31"/>
      <c r="AQ31" s="6">
        <f t="shared" si="14"/>
        <v>14</v>
      </c>
      <c r="AR31" s="6">
        <f t="shared" si="15"/>
        <v>14</v>
      </c>
      <c r="AS31" s="31">
        <v>13</v>
      </c>
      <c r="AT31" s="31">
        <v>13</v>
      </c>
      <c r="AU31" s="31"/>
      <c r="AV31" s="31"/>
      <c r="AW31" s="31">
        <v>16</v>
      </c>
      <c r="AX31" s="31">
        <v>17</v>
      </c>
      <c r="AY31" s="31"/>
      <c r="AZ31" s="31"/>
      <c r="BA31" s="31">
        <v>16</v>
      </c>
      <c r="BB31" s="31">
        <v>16</v>
      </c>
      <c r="BC31" s="31">
        <v>17</v>
      </c>
      <c r="BD31" s="31">
        <v>17</v>
      </c>
      <c r="BE31" s="7">
        <f t="shared" si="16"/>
        <v>15</v>
      </c>
      <c r="BF31" s="7">
        <f t="shared" si="17"/>
        <v>15</v>
      </c>
      <c r="BG31" s="31">
        <v>15</v>
      </c>
      <c r="BH31" s="31">
        <v>17</v>
      </c>
      <c r="BI31" s="31">
        <v>14</v>
      </c>
      <c r="BJ31" s="31"/>
      <c r="BK31" s="31">
        <v>16</v>
      </c>
      <c r="BL31" s="31">
        <v>17</v>
      </c>
      <c r="BM31" s="31">
        <v>16</v>
      </c>
      <c r="BN31" s="31"/>
      <c r="BO31" s="8">
        <f t="shared" si="18"/>
        <v>16</v>
      </c>
      <c r="BP31" s="8">
        <f t="shared" si="19"/>
        <v>17</v>
      </c>
      <c r="BQ31" s="31">
        <v>17</v>
      </c>
      <c r="BR31" s="31">
        <v>17</v>
      </c>
      <c r="BS31" s="31"/>
      <c r="BT31" s="31"/>
      <c r="BU31" s="10">
        <f t="shared" si="20"/>
        <v>17</v>
      </c>
      <c r="BV31" s="31">
        <v>17</v>
      </c>
      <c r="BW31" s="31">
        <v>17</v>
      </c>
      <c r="BX31" s="31"/>
      <c r="BY31" s="31"/>
      <c r="BZ31" s="34">
        <f t="shared" si="3"/>
        <v>17</v>
      </c>
      <c r="CA31" s="31">
        <v>17</v>
      </c>
      <c r="CB31" s="31">
        <v>15</v>
      </c>
      <c r="CC31" s="31"/>
      <c r="CD31" s="31"/>
      <c r="CE31" s="35">
        <f t="shared" si="5"/>
        <v>16</v>
      </c>
      <c r="CF31" s="31">
        <v>17</v>
      </c>
      <c r="CG31" s="31">
        <v>17</v>
      </c>
      <c r="CH31" s="31"/>
      <c r="CI31" s="31"/>
      <c r="CJ31" s="36">
        <f t="shared" si="6"/>
        <v>17</v>
      </c>
      <c r="CK31" s="31">
        <v>16</v>
      </c>
      <c r="CL31" s="31">
        <v>17</v>
      </c>
      <c r="CM31" s="31"/>
      <c r="CN31" s="31"/>
      <c r="CO31" s="37">
        <f t="shared" si="22"/>
        <v>17</v>
      </c>
      <c r="CP31" s="31">
        <v>17</v>
      </c>
      <c r="CQ31" s="31">
        <v>17</v>
      </c>
      <c r="CR31" s="31"/>
      <c r="CS31" s="31"/>
      <c r="CT31" s="15">
        <f t="shared" si="7"/>
        <v>17</v>
      </c>
      <c r="CU31" s="16">
        <f t="shared" si="8"/>
        <v>276</v>
      </c>
      <c r="CV31" s="16">
        <f t="shared" si="9"/>
        <v>285</v>
      </c>
      <c r="CW31" s="16"/>
      <c r="CX31" s="15"/>
      <c r="CY31" s="16">
        <f t="shared" si="21"/>
        <v>616</v>
      </c>
      <c r="CZ31" s="41"/>
    </row>
    <row r="32" spans="1:105" s="18" customFormat="1" ht="14.25" customHeight="1">
      <c r="A32" s="19">
        <f t="shared" si="11"/>
        <v>31</v>
      </c>
      <c r="B32" s="2" t="s">
        <v>32</v>
      </c>
      <c r="C32" s="28" t="s">
        <v>161</v>
      </c>
      <c r="D32" s="2" t="s">
        <v>1</v>
      </c>
      <c r="E32" s="3">
        <v>15</v>
      </c>
      <c r="F32" s="3">
        <v>15</v>
      </c>
      <c r="G32" s="3"/>
      <c r="H32" s="3"/>
      <c r="I32" s="3">
        <v>18</v>
      </c>
      <c r="J32" s="3">
        <v>18</v>
      </c>
      <c r="K32" s="3">
        <v>18</v>
      </c>
      <c r="L32" s="3">
        <v>18</v>
      </c>
      <c r="M32" s="3">
        <v>18</v>
      </c>
      <c r="N32" s="3">
        <v>18</v>
      </c>
      <c r="O32" s="3">
        <v>18</v>
      </c>
      <c r="P32" s="3">
        <v>18</v>
      </c>
      <c r="Q32" s="3">
        <v>14</v>
      </c>
      <c r="R32" s="3">
        <v>15</v>
      </c>
      <c r="S32" s="3"/>
      <c r="T32" s="3"/>
      <c r="U32" s="3">
        <v>14</v>
      </c>
      <c r="V32" s="3">
        <v>14</v>
      </c>
      <c r="W32" s="3"/>
      <c r="X32" s="3"/>
      <c r="Y32" s="5">
        <f t="shared" si="12"/>
        <v>16</v>
      </c>
      <c r="Z32" s="5">
        <f t="shared" si="13"/>
        <v>16</v>
      </c>
      <c r="AA32" s="3">
        <v>14</v>
      </c>
      <c r="AB32" s="3">
        <v>14</v>
      </c>
      <c r="AC32" s="3">
        <v>11</v>
      </c>
      <c r="AD32" s="3"/>
      <c r="AE32" s="3">
        <v>14</v>
      </c>
      <c r="AF32" s="3">
        <v>13</v>
      </c>
      <c r="AG32" s="3">
        <v>12</v>
      </c>
      <c r="AH32" s="3"/>
      <c r="AI32" s="3">
        <v>16</v>
      </c>
      <c r="AJ32" s="3">
        <v>15</v>
      </c>
      <c r="AK32" s="3"/>
      <c r="AL32" s="3"/>
      <c r="AM32" s="3">
        <v>14</v>
      </c>
      <c r="AN32" s="3">
        <v>14</v>
      </c>
      <c r="AO32" s="3">
        <v>14</v>
      </c>
      <c r="AP32" s="3"/>
      <c r="AQ32" s="6">
        <f t="shared" si="14"/>
        <v>15</v>
      </c>
      <c r="AR32" s="6">
        <f t="shared" si="15"/>
        <v>14</v>
      </c>
      <c r="AS32" s="3"/>
      <c r="AT32" s="3"/>
      <c r="AU32" s="3"/>
      <c r="AV32" s="3"/>
      <c r="AW32" s="3">
        <v>15</v>
      </c>
      <c r="AX32" s="3">
        <v>17</v>
      </c>
      <c r="AY32" s="3"/>
      <c r="AZ32" s="3"/>
      <c r="BA32" s="3">
        <v>18</v>
      </c>
      <c r="BB32" s="3">
        <v>18</v>
      </c>
      <c r="BC32" s="3">
        <v>18</v>
      </c>
      <c r="BD32" s="3">
        <v>18</v>
      </c>
      <c r="BE32" s="7">
        <f t="shared" si="16"/>
        <v>17</v>
      </c>
      <c r="BF32" s="7">
        <f t="shared" si="17"/>
        <v>18</v>
      </c>
      <c r="BG32" s="3">
        <v>17</v>
      </c>
      <c r="BH32" s="3">
        <v>17</v>
      </c>
      <c r="BI32" s="3">
        <v>12</v>
      </c>
      <c r="BJ32" s="3"/>
      <c r="BK32" s="3">
        <v>16</v>
      </c>
      <c r="BL32" s="3">
        <v>17</v>
      </c>
      <c r="BM32" s="3">
        <v>12</v>
      </c>
      <c r="BN32" s="3"/>
      <c r="BO32" s="8">
        <f t="shared" si="18"/>
        <v>17</v>
      </c>
      <c r="BP32" s="8">
        <f t="shared" si="19"/>
        <v>17</v>
      </c>
      <c r="BQ32" s="3">
        <v>17</v>
      </c>
      <c r="BR32" s="3">
        <v>17</v>
      </c>
      <c r="BS32" s="3"/>
      <c r="BT32" s="3"/>
      <c r="BU32" s="10">
        <f t="shared" si="20"/>
        <v>17</v>
      </c>
      <c r="BV32" s="3">
        <v>17</v>
      </c>
      <c r="BW32" s="3">
        <v>17</v>
      </c>
      <c r="BX32" s="3"/>
      <c r="BY32" s="3"/>
      <c r="BZ32" s="11">
        <f t="shared" si="3"/>
        <v>17</v>
      </c>
      <c r="CA32" s="3">
        <v>17</v>
      </c>
      <c r="CB32" s="3">
        <v>14</v>
      </c>
      <c r="CC32" s="3"/>
      <c r="CD32" s="3"/>
      <c r="CE32" s="12">
        <f t="shared" si="5"/>
        <v>16</v>
      </c>
      <c r="CF32" s="3">
        <v>17</v>
      </c>
      <c r="CG32" s="3">
        <v>17</v>
      </c>
      <c r="CH32" s="3"/>
      <c r="CI32" s="3"/>
      <c r="CJ32" s="13">
        <f t="shared" si="6"/>
        <v>17</v>
      </c>
      <c r="CK32" s="3">
        <v>17</v>
      </c>
      <c r="CL32" s="3">
        <v>17</v>
      </c>
      <c r="CM32" s="3"/>
      <c r="CN32" s="3"/>
      <c r="CO32" s="14">
        <f t="shared" si="22"/>
        <v>17</v>
      </c>
      <c r="CP32" s="3">
        <v>17</v>
      </c>
      <c r="CQ32" s="3">
        <v>17</v>
      </c>
      <c r="CR32" s="3"/>
      <c r="CS32" s="3"/>
      <c r="CT32" s="15">
        <f t="shared" si="7"/>
        <v>17</v>
      </c>
      <c r="CU32" s="16">
        <f t="shared" si="8"/>
        <v>288</v>
      </c>
      <c r="CV32" s="16">
        <f t="shared" si="9"/>
        <v>287</v>
      </c>
      <c r="CW32" s="16"/>
      <c r="CX32" s="15"/>
      <c r="CY32" s="16">
        <f t="shared" si="21"/>
        <v>565</v>
      </c>
      <c r="CZ32" s="17"/>
    </row>
    <row r="33" spans="1:105" s="18" customFormat="1" ht="15.75" customHeight="1">
      <c r="A33" s="19">
        <f t="shared" si="11"/>
        <v>32</v>
      </c>
      <c r="B33" s="2" t="s">
        <v>33</v>
      </c>
      <c r="C33" s="28" t="s">
        <v>161</v>
      </c>
      <c r="D33" s="2" t="s">
        <v>1</v>
      </c>
      <c r="E33" s="3">
        <v>18</v>
      </c>
      <c r="F33" s="3">
        <v>18</v>
      </c>
      <c r="G33" s="3"/>
      <c r="H33" s="3"/>
      <c r="I33" s="3">
        <v>18</v>
      </c>
      <c r="J33" s="3">
        <v>18</v>
      </c>
      <c r="K33" s="3">
        <v>18</v>
      </c>
      <c r="L33" s="3">
        <v>18</v>
      </c>
      <c r="M33" s="3">
        <v>18</v>
      </c>
      <c r="N33" s="3">
        <v>18</v>
      </c>
      <c r="O33" s="3">
        <v>18</v>
      </c>
      <c r="P33" s="3">
        <v>18</v>
      </c>
      <c r="Q33" s="3">
        <v>18</v>
      </c>
      <c r="R33" s="3">
        <v>18</v>
      </c>
      <c r="S33" s="3"/>
      <c r="T33" s="3"/>
      <c r="U33" s="3">
        <v>18</v>
      </c>
      <c r="V33" s="3">
        <v>18</v>
      </c>
      <c r="W33" s="3"/>
      <c r="X33" s="3"/>
      <c r="Y33" s="5">
        <f t="shared" si="12"/>
        <v>18</v>
      </c>
      <c r="Z33" s="5">
        <f t="shared" si="13"/>
        <v>18</v>
      </c>
      <c r="AA33" s="3">
        <v>13</v>
      </c>
      <c r="AB33" s="3">
        <v>13</v>
      </c>
      <c r="AC33" s="3">
        <v>16</v>
      </c>
      <c r="AD33" s="3"/>
      <c r="AE33" s="3">
        <v>18</v>
      </c>
      <c r="AF33" s="3">
        <v>16</v>
      </c>
      <c r="AG33" s="3">
        <v>17</v>
      </c>
      <c r="AH33" s="3"/>
      <c r="AI33" s="3">
        <v>14</v>
      </c>
      <c r="AJ33" s="3">
        <v>14</v>
      </c>
      <c r="AK33" s="3"/>
      <c r="AL33" s="3"/>
      <c r="AM33" s="3">
        <v>15</v>
      </c>
      <c r="AN33" s="3">
        <v>14</v>
      </c>
      <c r="AO33" s="3">
        <v>14</v>
      </c>
      <c r="AP33" s="3"/>
      <c r="AQ33" s="6">
        <f t="shared" si="14"/>
        <v>15</v>
      </c>
      <c r="AR33" s="6">
        <f t="shared" si="15"/>
        <v>14</v>
      </c>
      <c r="AS33" s="3">
        <v>14</v>
      </c>
      <c r="AT33" s="3">
        <v>15</v>
      </c>
      <c r="AU33" s="3"/>
      <c r="AV33" s="3"/>
      <c r="AW33" s="3">
        <v>15</v>
      </c>
      <c r="AX33" s="3">
        <v>16</v>
      </c>
      <c r="AY33" s="3"/>
      <c r="AZ33" s="3"/>
      <c r="BA33" s="3">
        <v>18</v>
      </c>
      <c r="BB33" s="3">
        <v>18</v>
      </c>
      <c r="BC33" s="3">
        <v>18</v>
      </c>
      <c r="BD33" s="3">
        <v>18</v>
      </c>
      <c r="BE33" s="7">
        <f t="shared" si="16"/>
        <v>16</v>
      </c>
      <c r="BF33" s="7">
        <f t="shared" si="17"/>
        <v>16</v>
      </c>
      <c r="BG33" s="3">
        <v>15</v>
      </c>
      <c r="BH33" s="3">
        <v>16</v>
      </c>
      <c r="BI33" s="3">
        <v>18</v>
      </c>
      <c r="BJ33" s="3"/>
      <c r="BK33" s="3">
        <v>15</v>
      </c>
      <c r="BL33" s="3">
        <v>16</v>
      </c>
      <c r="BM33" s="3">
        <v>18</v>
      </c>
      <c r="BN33" s="3"/>
      <c r="BO33" s="8">
        <f t="shared" si="18"/>
        <v>15</v>
      </c>
      <c r="BP33" s="8">
        <f t="shared" si="19"/>
        <v>16</v>
      </c>
      <c r="BQ33" s="3">
        <v>16</v>
      </c>
      <c r="BR33" s="3">
        <v>16</v>
      </c>
      <c r="BS33" s="3"/>
      <c r="BT33" s="3"/>
      <c r="BU33" s="10">
        <f t="shared" si="20"/>
        <v>16</v>
      </c>
      <c r="BV33" s="3">
        <v>16</v>
      </c>
      <c r="BW33" s="3">
        <v>16</v>
      </c>
      <c r="BX33" s="3"/>
      <c r="BY33" s="3"/>
      <c r="BZ33" s="11">
        <f t="shared" si="3"/>
        <v>16</v>
      </c>
      <c r="CA33" s="3">
        <v>16</v>
      </c>
      <c r="CB33" s="3">
        <v>18</v>
      </c>
      <c r="CC33" s="3"/>
      <c r="CD33" s="3"/>
      <c r="CE33" s="12">
        <f t="shared" si="5"/>
        <v>17</v>
      </c>
      <c r="CF33" s="3">
        <v>16</v>
      </c>
      <c r="CG33" s="3">
        <v>16</v>
      </c>
      <c r="CH33" s="3"/>
      <c r="CI33" s="3"/>
      <c r="CJ33" s="13">
        <f t="shared" si="6"/>
        <v>16</v>
      </c>
      <c r="CK33" s="3">
        <v>15</v>
      </c>
      <c r="CL33" s="3">
        <v>16</v>
      </c>
      <c r="CM33" s="3"/>
      <c r="CN33" s="3"/>
      <c r="CO33" s="14">
        <f t="shared" si="22"/>
        <v>16</v>
      </c>
      <c r="CP33" s="3">
        <v>16</v>
      </c>
      <c r="CQ33" s="3">
        <v>16</v>
      </c>
      <c r="CR33" s="3"/>
      <c r="CS33" s="3"/>
      <c r="CT33" s="15">
        <f t="shared" si="7"/>
        <v>16</v>
      </c>
      <c r="CU33" s="16">
        <f t="shared" si="8"/>
        <v>306</v>
      </c>
      <c r="CV33" s="16">
        <f t="shared" si="9"/>
        <v>310</v>
      </c>
      <c r="CW33" s="16"/>
      <c r="CX33" s="15"/>
      <c r="CY33" s="16">
        <f t="shared" si="21"/>
        <v>478</v>
      </c>
      <c r="CZ33" s="24"/>
      <c r="DA33" s="25"/>
    </row>
    <row r="34" spans="1:105" s="18" customFormat="1" ht="14.25" customHeight="1">
      <c r="A34" s="19">
        <f t="shared" si="11"/>
        <v>33</v>
      </c>
      <c r="B34" s="2" t="s">
        <v>34</v>
      </c>
      <c r="C34" s="28" t="s">
        <v>161</v>
      </c>
      <c r="D34" s="2" t="s">
        <v>1</v>
      </c>
      <c r="E34" s="3">
        <v>14</v>
      </c>
      <c r="F34" s="3">
        <v>15</v>
      </c>
      <c r="G34" s="3"/>
      <c r="H34" s="3"/>
      <c r="I34" s="3">
        <v>17</v>
      </c>
      <c r="J34" s="3">
        <v>17</v>
      </c>
      <c r="K34" s="3">
        <v>17</v>
      </c>
      <c r="L34" s="3">
        <v>17</v>
      </c>
      <c r="M34" s="3">
        <v>18</v>
      </c>
      <c r="N34" s="3">
        <v>17</v>
      </c>
      <c r="O34" s="3">
        <v>17</v>
      </c>
      <c r="P34" s="3">
        <v>17</v>
      </c>
      <c r="Q34" s="3">
        <v>15</v>
      </c>
      <c r="R34" s="3">
        <v>16</v>
      </c>
      <c r="S34" s="3"/>
      <c r="T34" s="3"/>
      <c r="U34" s="3">
        <v>14</v>
      </c>
      <c r="V34" s="3">
        <v>15</v>
      </c>
      <c r="W34" s="3"/>
      <c r="X34" s="3"/>
      <c r="Y34" s="5">
        <f t="shared" si="12"/>
        <v>16</v>
      </c>
      <c r="Z34" s="5">
        <f t="shared" si="13"/>
        <v>16</v>
      </c>
      <c r="AA34" s="3">
        <v>16</v>
      </c>
      <c r="AB34" s="3">
        <v>16</v>
      </c>
      <c r="AC34" s="3">
        <v>14</v>
      </c>
      <c r="AD34" s="3"/>
      <c r="AE34" s="3">
        <v>14</v>
      </c>
      <c r="AF34" s="3">
        <v>15</v>
      </c>
      <c r="AG34" s="3">
        <v>14</v>
      </c>
      <c r="AH34" s="3"/>
      <c r="AI34" s="3">
        <v>14</v>
      </c>
      <c r="AJ34" s="3">
        <v>14</v>
      </c>
      <c r="AK34" s="3"/>
      <c r="AL34" s="3"/>
      <c r="AM34" s="3">
        <v>16</v>
      </c>
      <c r="AN34" s="3">
        <v>15</v>
      </c>
      <c r="AO34" s="3">
        <v>14</v>
      </c>
      <c r="AP34" s="3"/>
      <c r="AQ34" s="6">
        <f t="shared" si="14"/>
        <v>15</v>
      </c>
      <c r="AR34" s="6">
        <f t="shared" si="15"/>
        <v>15</v>
      </c>
      <c r="AS34" s="3">
        <v>13</v>
      </c>
      <c r="AT34" s="3">
        <v>13</v>
      </c>
      <c r="AU34" s="3"/>
      <c r="AV34" s="3"/>
      <c r="AW34" s="3">
        <v>13</v>
      </c>
      <c r="AX34" s="3">
        <v>14</v>
      </c>
      <c r="AY34" s="3"/>
      <c r="AZ34" s="3"/>
      <c r="BA34" s="3">
        <v>17</v>
      </c>
      <c r="BB34" s="3">
        <v>18</v>
      </c>
      <c r="BC34" s="3">
        <v>18</v>
      </c>
      <c r="BD34" s="3">
        <v>18</v>
      </c>
      <c r="BE34" s="7">
        <f t="shared" si="16"/>
        <v>14</v>
      </c>
      <c r="BF34" s="7">
        <f t="shared" si="17"/>
        <v>15</v>
      </c>
      <c r="BG34" s="3">
        <v>15</v>
      </c>
      <c r="BH34" s="3">
        <v>14</v>
      </c>
      <c r="BI34" s="3">
        <v>14</v>
      </c>
      <c r="BJ34" s="3"/>
      <c r="BK34" s="3">
        <v>13</v>
      </c>
      <c r="BL34" s="3">
        <v>14</v>
      </c>
      <c r="BM34" s="3">
        <v>16</v>
      </c>
      <c r="BN34" s="3"/>
      <c r="BO34" s="8">
        <f t="shared" si="18"/>
        <v>14</v>
      </c>
      <c r="BP34" s="8">
        <f t="shared" si="19"/>
        <v>14</v>
      </c>
      <c r="BQ34" s="3">
        <v>14</v>
      </c>
      <c r="BR34" s="3">
        <v>14</v>
      </c>
      <c r="BS34" s="3"/>
      <c r="BT34" s="3"/>
      <c r="BU34" s="10">
        <f t="shared" si="20"/>
        <v>14</v>
      </c>
      <c r="BV34" s="3">
        <v>14</v>
      </c>
      <c r="BW34" s="3">
        <v>14</v>
      </c>
      <c r="BX34" s="3"/>
      <c r="BY34" s="3"/>
      <c r="BZ34" s="11">
        <f t="shared" si="3"/>
        <v>14</v>
      </c>
      <c r="CA34" s="3">
        <v>14</v>
      </c>
      <c r="CB34" s="3">
        <v>15</v>
      </c>
      <c r="CC34" s="3"/>
      <c r="CD34" s="3"/>
      <c r="CE34" s="12">
        <f t="shared" si="5"/>
        <v>15</v>
      </c>
      <c r="CF34" s="3">
        <v>14</v>
      </c>
      <c r="CG34" s="3">
        <v>16</v>
      </c>
      <c r="CH34" s="3"/>
      <c r="CI34" s="3"/>
      <c r="CJ34" s="13">
        <f t="shared" si="6"/>
        <v>15</v>
      </c>
      <c r="CK34" s="3">
        <v>14</v>
      </c>
      <c r="CL34" s="3">
        <v>14</v>
      </c>
      <c r="CM34" s="3"/>
      <c r="CN34" s="3"/>
      <c r="CO34" s="14">
        <f t="shared" si="22"/>
        <v>14</v>
      </c>
      <c r="CP34" s="3">
        <v>14</v>
      </c>
      <c r="CQ34" s="3">
        <v>14</v>
      </c>
      <c r="CR34" s="3"/>
      <c r="CS34" s="3"/>
      <c r="CT34" s="15">
        <f t="shared" si="7"/>
        <v>14</v>
      </c>
      <c r="CU34" s="16">
        <f t="shared" ref="CU34:CU60" si="25">+E34+I34+M34+Q34+U34+AA34+AE34+AI34+AM34+AS34+AW34+BA34+BG34+BK34+BQ34+BV34+CA34+CF34+CK34</f>
        <v>279</v>
      </c>
      <c r="CV34" s="16">
        <f t="shared" ref="CV34:CV60" si="26">+F34+J34+N34+R34+V34+AB34+AF34+AJ34+AN34+AT34+AX34+BB34+BH34+BL34+BR34+BW34+CB34+CG34+CL34</f>
        <v>286</v>
      </c>
      <c r="CW34" s="16"/>
      <c r="CX34" s="15"/>
      <c r="CY34" s="16">
        <f t="shared" si="21"/>
        <v>594</v>
      </c>
      <c r="CZ34" s="17"/>
    </row>
    <row r="35" spans="1:105" s="18" customFormat="1" ht="15.75" customHeight="1">
      <c r="A35" s="19">
        <f t="shared" si="11"/>
        <v>34</v>
      </c>
      <c r="B35" s="85" t="s">
        <v>35</v>
      </c>
      <c r="C35" s="28" t="s">
        <v>161</v>
      </c>
      <c r="D35" s="20" t="s">
        <v>5</v>
      </c>
      <c r="E35" s="21">
        <v>16</v>
      </c>
      <c r="F35" s="21">
        <v>16</v>
      </c>
      <c r="G35" s="21"/>
      <c r="H35" s="21"/>
      <c r="I35" s="21">
        <v>18</v>
      </c>
      <c r="J35" s="21">
        <v>16</v>
      </c>
      <c r="K35" s="21">
        <v>16</v>
      </c>
      <c r="L35" s="21">
        <v>16</v>
      </c>
      <c r="M35" s="21">
        <v>16</v>
      </c>
      <c r="N35" s="21">
        <v>16</v>
      </c>
      <c r="O35" s="21">
        <v>16</v>
      </c>
      <c r="P35" s="21">
        <v>16</v>
      </c>
      <c r="Q35" s="21">
        <v>18</v>
      </c>
      <c r="R35" s="21">
        <v>15</v>
      </c>
      <c r="S35" s="21"/>
      <c r="T35" s="21"/>
      <c r="U35" s="21">
        <v>16</v>
      </c>
      <c r="V35" s="21">
        <v>16</v>
      </c>
      <c r="W35" s="21"/>
      <c r="X35" s="21"/>
      <c r="Y35" s="5">
        <f t="shared" si="12"/>
        <v>17</v>
      </c>
      <c r="Z35" s="5">
        <f t="shared" si="13"/>
        <v>16</v>
      </c>
      <c r="AA35" s="21">
        <v>18</v>
      </c>
      <c r="AB35" s="21">
        <v>18</v>
      </c>
      <c r="AC35" s="21">
        <v>17</v>
      </c>
      <c r="AD35" s="21"/>
      <c r="AE35" s="21">
        <v>18</v>
      </c>
      <c r="AF35" s="21">
        <v>16</v>
      </c>
      <c r="AG35" s="21">
        <v>18</v>
      </c>
      <c r="AH35" s="21"/>
      <c r="AI35" s="21">
        <v>18</v>
      </c>
      <c r="AJ35" s="21">
        <v>19</v>
      </c>
      <c r="AK35" s="21"/>
      <c r="AL35" s="21"/>
      <c r="AM35" s="21">
        <v>17</v>
      </c>
      <c r="AN35" s="21">
        <v>18</v>
      </c>
      <c r="AO35" s="21">
        <v>15</v>
      </c>
      <c r="AP35" s="21"/>
      <c r="AQ35" s="6">
        <f t="shared" si="14"/>
        <v>18</v>
      </c>
      <c r="AR35" s="6">
        <f t="shared" ref="AR35:AR65" si="27">ROUND(AVERAGE(AB35,AF35,AJ35,AN35),0)</f>
        <v>18</v>
      </c>
      <c r="AS35" s="21">
        <v>18</v>
      </c>
      <c r="AT35" s="21">
        <v>16</v>
      </c>
      <c r="AU35" s="21"/>
      <c r="AV35" s="21"/>
      <c r="AW35" s="21">
        <v>17</v>
      </c>
      <c r="AX35" s="21">
        <v>18</v>
      </c>
      <c r="AY35" s="21"/>
      <c r="AZ35" s="21"/>
      <c r="BA35" s="21">
        <v>16</v>
      </c>
      <c r="BB35" s="21">
        <v>16</v>
      </c>
      <c r="BC35" s="21">
        <v>16</v>
      </c>
      <c r="BD35" s="21">
        <v>16</v>
      </c>
      <c r="BE35" s="7">
        <f t="shared" si="16"/>
        <v>17</v>
      </c>
      <c r="BF35" s="7">
        <f t="shared" ref="BF35:BF60" si="28">ROUND(AVERAGE(AT35,AX35,BB35),0)</f>
        <v>17</v>
      </c>
      <c r="BG35" s="21">
        <v>18</v>
      </c>
      <c r="BH35" s="21">
        <v>18</v>
      </c>
      <c r="BI35" s="21">
        <v>18</v>
      </c>
      <c r="BJ35" s="21"/>
      <c r="BK35" s="21">
        <v>18</v>
      </c>
      <c r="BL35" s="21">
        <v>18</v>
      </c>
      <c r="BM35" s="21">
        <v>18</v>
      </c>
      <c r="BN35" s="21"/>
      <c r="BO35" s="8">
        <f t="shared" si="18"/>
        <v>18</v>
      </c>
      <c r="BP35" s="8">
        <f t="shared" si="19"/>
        <v>18</v>
      </c>
      <c r="BQ35" s="21"/>
      <c r="BR35" s="21"/>
      <c r="BS35" s="21"/>
      <c r="BT35" s="21"/>
      <c r="BU35" s="10" t="e">
        <f t="shared" si="20"/>
        <v>#DIV/0!</v>
      </c>
      <c r="BV35" s="21"/>
      <c r="BW35" s="21"/>
      <c r="BX35" s="21"/>
      <c r="BY35" s="21"/>
      <c r="BZ35" s="23" t="e">
        <f t="shared" si="3"/>
        <v>#DIV/0!</v>
      </c>
      <c r="CA35" s="21"/>
      <c r="CB35" s="21"/>
      <c r="CC35" s="21"/>
      <c r="CD35" s="21"/>
      <c r="CE35" s="23" t="e">
        <f t="shared" si="5"/>
        <v>#DIV/0!</v>
      </c>
      <c r="CF35" s="21"/>
      <c r="CG35" s="21"/>
      <c r="CH35" s="21"/>
      <c r="CI35" s="21"/>
      <c r="CJ35" s="23" t="e">
        <f t="shared" si="6"/>
        <v>#DIV/0!</v>
      </c>
      <c r="CK35" s="21"/>
      <c r="CL35" s="21"/>
      <c r="CM35" s="21"/>
      <c r="CN35" s="21"/>
      <c r="CO35" s="23" t="e">
        <f t="shared" si="22"/>
        <v>#DIV/0!</v>
      </c>
      <c r="CP35" s="21"/>
      <c r="CQ35" s="21"/>
      <c r="CR35" s="21"/>
      <c r="CS35" s="21"/>
      <c r="CT35" s="15" t="e">
        <f t="shared" si="7"/>
        <v>#DIV/0!</v>
      </c>
      <c r="CU35" s="16">
        <f t="shared" si="25"/>
        <v>242</v>
      </c>
      <c r="CV35" s="16">
        <f t="shared" si="26"/>
        <v>236</v>
      </c>
      <c r="CW35" s="16"/>
      <c r="CX35" s="15"/>
      <c r="CY35" s="16">
        <f t="shared" si="21"/>
        <v>620</v>
      </c>
      <c r="CZ35" s="17"/>
    </row>
    <row r="36" spans="1:105" s="18" customFormat="1" ht="14.25" customHeight="1">
      <c r="A36" s="19">
        <f t="shared" si="11"/>
        <v>35</v>
      </c>
      <c r="B36" s="2" t="s">
        <v>36</v>
      </c>
      <c r="C36" s="28" t="s">
        <v>161</v>
      </c>
      <c r="D36" s="2" t="s">
        <v>5</v>
      </c>
      <c r="E36" s="3">
        <v>15</v>
      </c>
      <c r="F36" s="3">
        <v>16</v>
      </c>
      <c r="G36" s="3"/>
      <c r="H36" s="3"/>
      <c r="I36" s="3">
        <v>16</v>
      </c>
      <c r="J36" s="3">
        <v>16</v>
      </c>
      <c r="K36" s="3">
        <v>16</v>
      </c>
      <c r="L36" s="3">
        <v>16</v>
      </c>
      <c r="M36" s="3">
        <v>17</v>
      </c>
      <c r="N36" s="3">
        <v>17</v>
      </c>
      <c r="O36" s="3">
        <v>17</v>
      </c>
      <c r="P36" s="3">
        <v>17</v>
      </c>
      <c r="Q36" s="3">
        <v>15</v>
      </c>
      <c r="R36" s="3">
        <v>16</v>
      </c>
      <c r="S36" s="3"/>
      <c r="T36" s="3"/>
      <c r="U36" s="3">
        <v>16</v>
      </c>
      <c r="V36" s="3">
        <v>15</v>
      </c>
      <c r="W36" s="3"/>
      <c r="X36" s="3"/>
      <c r="Y36" s="5">
        <f t="shared" si="12"/>
        <v>16</v>
      </c>
      <c r="Z36" s="5">
        <f t="shared" si="13"/>
        <v>16</v>
      </c>
      <c r="AA36" s="3">
        <v>14</v>
      </c>
      <c r="AB36" s="3">
        <v>14</v>
      </c>
      <c r="AC36" s="3">
        <v>11</v>
      </c>
      <c r="AD36" s="3"/>
      <c r="AE36" s="3">
        <v>16</v>
      </c>
      <c r="AF36" s="3">
        <v>15</v>
      </c>
      <c r="AG36" s="3">
        <v>17</v>
      </c>
      <c r="AH36" s="3"/>
      <c r="AI36" s="3">
        <v>14</v>
      </c>
      <c r="AJ36" s="3">
        <v>14</v>
      </c>
      <c r="AK36" s="3"/>
      <c r="AL36" s="3"/>
      <c r="AM36" s="3">
        <v>15</v>
      </c>
      <c r="AN36" s="3">
        <v>16</v>
      </c>
      <c r="AO36" s="3">
        <v>14</v>
      </c>
      <c r="AP36" s="3"/>
      <c r="AQ36" s="6">
        <f t="shared" si="14"/>
        <v>15</v>
      </c>
      <c r="AR36" s="6">
        <f t="shared" si="27"/>
        <v>15</v>
      </c>
      <c r="AS36" s="3">
        <v>15</v>
      </c>
      <c r="AT36" s="3">
        <v>15</v>
      </c>
      <c r="AU36" s="3"/>
      <c r="AV36" s="3"/>
      <c r="AW36" s="3">
        <v>16</v>
      </c>
      <c r="AX36" s="3">
        <v>16</v>
      </c>
      <c r="AY36" s="3"/>
      <c r="AZ36" s="3"/>
      <c r="BA36" s="3">
        <v>16</v>
      </c>
      <c r="BB36" s="3">
        <v>17</v>
      </c>
      <c r="BC36" s="3">
        <v>17</v>
      </c>
      <c r="BD36" s="3">
        <v>17</v>
      </c>
      <c r="BE36" s="7">
        <f t="shared" si="16"/>
        <v>16</v>
      </c>
      <c r="BF36" s="7">
        <f t="shared" si="28"/>
        <v>16</v>
      </c>
      <c r="BG36" s="3">
        <v>15</v>
      </c>
      <c r="BH36" s="3">
        <v>16</v>
      </c>
      <c r="BI36" s="3">
        <v>14</v>
      </c>
      <c r="BJ36" s="3"/>
      <c r="BK36" s="3">
        <v>17</v>
      </c>
      <c r="BL36" s="3">
        <v>16</v>
      </c>
      <c r="BM36" s="3">
        <v>14</v>
      </c>
      <c r="BN36" s="3"/>
      <c r="BO36" s="8">
        <f t="shared" si="18"/>
        <v>16</v>
      </c>
      <c r="BP36" s="8">
        <f t="shared" si="19"/>
        <v>16</v>
      </c>
      <c r="BQ36" s="3">
        <v>16</v>
      </c>
      <c r="BR36" s="3">
        <v>16</v>
      </c>
      <c r="BS36" s="3"/>
      <c r="BT36" s="3"/>
      <c r="BU36" s="10">
        <f t="shared" si="20"/>
        <v>16</v>
      </c>
      <c r="BV36" s="3">
        <v>16</v>
      </c>
      <c r="BW36" s="3">
        <v>16</v>
      </c>
      <c r="BX36" s="3"/>
      <c r="BY36" s="3"/>
      <c r="BZ36" s="11">
        <f t="shared" si="3"/>
        <v>16</v>
      </c>
      <c r="CA36" s="3">
        <v>16</v>
      </c>
      <c r="CB36" s="3">
        <v>14</v>
      </c>
      <c r="CC36" s="3"/>
      <c r="CD36" s="3"/>
      <c r="CE36" s="12">
        <f t="shared" si="5"/>
        <v>15</v>
      </c>
      <c r="CF36" s="3">
        <v>16</v>
      </c>
      <c r="CG36" s="3">
        <v>16</v>
      </c>
      <c r="CH36" s="3"/>
      <c r="CI36" s="3"/>
      <c r="CJ36" s="13">
        <f t="shared" si="6"/>
        <v>16</v>
      </c>
      <c r="CK36" s="3">
        <v>16</v>
      </c>
      <c r="CL36" s="3">
        <v>16</v>
      </c>
      <c r="CM36" s="3"/>
      <c r="CN36" s="3"/>
      <c r="CO36" s="14">
        <f t="shared" si="22"/>
        <v>16</v>
      </c>
      <c r="CP36" s="3">
        <v>16</v>
      </c>
      <c r="CQ36" s="3">
        <v>16</v>
      </c>
      <c r="CR36" s="3"/>
      <c r="CS36" s="3"/>
      <c r="CT36" s="15">
        <f t="shared" si="7"/>
        <v>16</v>
      </c>
      <c r="CU36" s="16">
        <f t="shared" si="25"/>
        <v>297</v>
      </c>
      <c r="CV36" s="16">
        <f t="shared" si="26"/>
        <v>297</v>
      </c>
      <c r="CW36" s="16"/>
      <c r="CX36" s="15"/>
      <c r="CY36" s="16">
        <f t="shared" si="21"/>
        <v>496</v>
      </c>
      <c r="CZ36" s="17"/>
    </row>
    <row r="37" spans="1:105" s="18" customFormat="1" ht="15.75" customHeight="1">
      <c r="A37" s="19">
        <f t="shared" si="11"/>
        <v>36</v>
      </c>
      <c r="B37" s="2" t="s">
        <v>37</v>
      </c>
      <c r="C37" s="28" t="s">
        <v>161</v>
      </c>
      <c r="D37" s="2" t="s">
        <v>5</v>
      </c>
      <c r="E37" s="3">
        <v>14</v>
      </c>
      <c r="F37" s="3">
        <v>17</v>
      </c>
      <c r="G37" s="3"/>
      <c r="H37" s="3"/>
      <c r="I37" s="3">
        <v>18</v>
      </c>
      <c r="J37" s="3">
        <v>18</v>
      </c>
      <c r="K37" s="3">
        <v>18</v>
      </c>
      <c r="L37" s="3">
        <v>18</v>
      </c>
      <c r="M37" s="3">
        <v>18</v>
      </c>
      <c r="N37" s="3">
        <v>18</v>
      </c>
      <c r="O37" s="3">
        <v>18</v>
      </c>
      <c r="P37" s="3">
        <v>18</v>
      </c>
      <c r="Q37" s="3">
        <v>16</v>
      </c>
      <c r="R37" s="3">
        <v>17</v>
      </c>
      <c r="S37" s="3"/>
      <c r="T37" s="3"/>
      <c r="U37" s="3">
        <v>14</v>
      </c>
      <c r="V37" s="3">
        <v>15</v>
      </c>
      <c r="W37" s="3"/>
      <c r="X37" s="3"/>
      <c r="Y37" s="5">
        <f t="shared" si="12"/>
        <v>16</v>
      </c>
      <c r="Z37" s="5">
        <f t="shared" si="13"/>
        <v>17</v>
      </c>
      <c r="AA37" s="3">
        <v>13</v>
      </c>
      <c r="AB37" s="3">
        <v>13</v>
      </c>
      <c r="AC37" s="3">
        <v>17</v>
      </c>
      <c r="AD37" s="3"/>
      <c r="AE37" s="3">
        <v>18</v>
      </c>
      <c r="AF37" s="3">
        <v>16</v>
      </c>
      <c r="AG37" s="3">
        <v>18</v>
      </c>
      <c r="AH37" s="3"/>
      <c r="AI37" s="3">
        <v>15</v>
      </c>
      <c r="AJ37" s="3">
        <v>15</v>
      </c>
      <c r="AK37" s="3"/>
      <c r="AL37" s="3"/>
      <c r="AM37" s="3">
        <v>15</v>
      </c>
      <c r="AN37" s="3">
        <v>15</v>
      </c>
      <c r="AO37" s="3">
        <v>14</v>
      </c>
      <c r="AP37" s="3"/>
      <c r="AQ37" s="6">
        <f t="shared" si="14"/>
        <v>15</v>
      </c>
      <c r="AR37" s="6">
        <f t="shared" si="27"/>
        <v>15</v>
      </c>
      <c r="AS37" s="3">
        <v>15</v>
      </c>
      <c r="AT37" s="3">
        <v>16</v>
      </c>
      <c r="AU37" s="3"/>
      <c r="AV37" s="3"/>
      <c r="AW37" s="3">
        <v>15</v>
      </c>
      <c r="AX37" s="3">
        <v>17</v>
      </c>
      <c r="AY37" s="3"/>
      <c r="AZ37" s="3"/>
      <c r="BA37" s="3">
        <v>18</v>
      </c>
      <c r="BB37" s="3">
        <v>18</v>
      </c>
      <c r="BC37" s="3">
        <v>17</v>
      </c>
      <c r="BD37" s="3">
        <v>17</v>
      </c>
      <c r="BE37" s="7">
        <f t="shared" si="16"/>
        <v>16</v>
      </c>
      <c r="BF37" s="7">
        <f t="shared" si="28"/>
        <v>17</v>
      </c>
      <c r="BG37" s="3">
        <v>16</v>
      </c>
      <c r="BH37" s="3">
        <v>17</v>
      </c>
      <c r="BI37" s="3">
        <v>14</v>
      </c>
      <c r="BJ37" s="3"/>
      <c r="BK37" s="3">
        <v>15</v>
      </c>
      <c r="BL37" s="3">
        <v>17</v>
      </c>
      <c r="BM37" s="3">
        <v>16</v>
      </c>
      <c r="BN37" s="3"/>
      <c r="BO37" s="8">
        <f t="shared" si="18"/>
        <v>16</v>
      </c>
      <c r="BP37" s="8">
        <f t="shared" si="19"/>
        <v>17</v>
      </c>
      <c r="BQ37" s="3">
        <v>17</v>
      </c>
      <c r="BR37" s="3">
        <v>17</v>
      </c>
      <c r="BS37" s="3"/>
      <c r="BT37" s="3"/>
      <c r="BU37" s="10">
        <f t="shared" si="20"/>
        <v>17</v>
      </c>
      <c r="BV37" s="3">
        <v>17</v>
      </c>
      <c r="BW37" s="3">
        <v>17</v>
      </c>
      <c r="BX37" s="3"/>
      <c r="BY37" s="3"/>
      <c r="BZ37" s="11">
        <f t="shared" si="3"/>
        <v>17</v>
      </c>
      <c r="CA37" s="3">
        <v>17</v>
      </c>
      <c r="CB37" s="3">
        <v>18</v>
      </c>
      <c r="CC37" s="3"/>
      <c r="CD37" s="3"/>
      <c r="CE37" s="12">
        <f t="shared" si="5"/>
        <v>18</v>
      </c>
      <c r="CF37" s="3">
        <v>17</v>
      </c>
      <c r="CG37" s="3">
        <v>18</v>
      </c>
      <c r="CH37" s="3"/>
      <c r="CI37" s="3"/>
      <c r="CJ37" s="13">
        <f t="shared" si="6"/>
        <v>18</v>
      </c>
      <c r="CK37" s="3">
        <v>16</v>
      </c>
      <c r="CL37" s="3">
        <v>17</v>
      </c>
      <c r="CM37" s="3"/>
      <c r="CN37" s="3"/>
      <c r="CO37" s="14">
        <f t="shared" si="22"/>
        <v>17</v>
      </c>
      <c r="CP37" s="3">
        <v>17</v>
      </c>
      <c r="CQ37" s="3">
        <v>17</v>
      </c>
      <c r="CR37" s="3"/>
      <c r="CS37" s="3"/>
      <c r="CT37" s="15">
        <f t="shared" si="7"/>
        <v>17</v>
      </c>
      <c r="CU37" s="16">
        <f t="shared" si="25"/>
        <v>304</v>
      </c>
      <c r="CV37" s="16">
        <f t="shared" si="26"/>
        <v>316</v>
      </c>
      <c r="CW37" s="16"/>
      <c r="CX37" s="15"/>
      <c r="CY37" s="16">
        <f t="shared" si="21"/>
        <v>406</v>
      </c>
      <c r="CZ37" s="24"/>
      <c r="DA37" s="25"/>
    </row>
    <row r="38" spans="1:105" s="18" customFormat="1" ht="14.25" customHeight="1">
      <c r="A38" s="19">
        <f t="shared" si="11"/>
        <v>37</v>
      </c>
      <c r="B38" s="83" t="s">
        <v>38</v>
      </c>
      <c r="C38" s="28" t="s">
        <v>161</v>
      </c>
      <c r="D38" s="2" t="s">
        <v>1</v>
      </c>
      <c r="E38" s="3">
        <v>16</v>
      </c>
      <c r="F38" s="3">
        <v>16</v>
      </c>
      <c r="G38" s="3"/>
      <c r="H38" s="3"/>
      <c r="I38" s="3">
        <v>16</v>
      </c>
      <c r="J38" s="3">
        <v>16</v>
      </c>
      <c r="K38" s="3">
        <v>16</v>
      </c>
      <c r="L38" s="3">
        <v>16</v>
      </c>
      <c r="M38" s="3">
        <v>17</v>
      </c>
      <c r="N38" s="3">
        <v>16</v>
      </c>
      <c r="O38" s="3">
        <v>16</v>
      </c>
      <c r="P38" s="3">
        <v>16</v>
      </c>
      <c r="Q38" s="3">
        <v>14</v>
      </c>
      <c r="R38" s="3">
        <v>14</v>
      </c>
      <c r="S38" s="3"/>
      <c r="T38" s="3"/>
      <c r="U38" s="3"/>
      <c r="V38" s="3"/>
      <c r="W38" s="3"/>
      <c r="X38" s="3"/>
      <c r="Y38" s="5">
        <f t="shared" si="12"/>
        <v>16</v>
      </c>
      <c r="Z38" s="5">
        <f t="shared" si="13"/>
        <v>16</v>
      </c>
      <c r="AA38" s="3">
        <v>12</v>
      </c>
      <c r="AB38" s="3">
        <v>12</v>
      </c>
      <c r="AC38" s="3">
        <v>12</v>
      </c>
      <c r="AD38" s="3"/>
      <c r="AE38" s="3">
        <v>12</v>
      </c>
      <c r="AF38" s="3">
        <v>13</v>
      </c>
      <c r="AG38" s="3">
        <v>11</v>
      </c>
      <c r="AH38" s="3"/>
      <c r="AI38" s="3">
        <v>13</v>
      </c>
      <c r="AJ38" s="3">
        <v>13</v>
      </c>
      <c r="AK38" s="3"/>
      <c r="AL38" s="3"/>
      <c r="AM38" s="3">
        <v>12</v>
      </c>
      <c r="AN38" s="3">
        <v>13</v>
      </c>
      <c r="AO38" s="3">
        <v>12</v>
      </c>
      <c r="AP38" s="3"/>
      <c r="AQ38" s="6">
        <f t="shared" si="14"/>
        <v>12</v>
      </c>
      <c r="AR38" s="6">
        <f t="shared" si="27"/>
        <v>13</v>
      </c>
      <c r="AS38" s="3">
        <v>14</v>
      </c>
      <c r="AT38" s="3">
        <v>16</v>
      </c>
      <c r="AU38" s="3"/>
      <c r="AV38" s="3"/>
      <c r="AW38" s="3">
        <v>12</v>
      </c>
      <c r="AX38" s="3">
        <v>12</v>
      </c>
      <c r="AY38" s="3"/>
      <c r="AZ38" s="3"/>
      <c r="BA38" s="3">
        <v>16</v>
      </c>
      <c r="BB38" s="3">
        <v>17</v>
      </c>
      <c r="BC38" s="3">
        <v>12</v>
      </c>
      <c r="BD38" s="3">
        <v>12</v>
      </c>
      <c r="BE38" s="7">
        <f t="shared" si="16"/>
        <v>14</v>
      </c>
      <c r="BF38" s="7">
        <f t="shared" si="28"/>
        <v>15</v>
      </c>
      <c r="BG38" s="3">
        <v>12</v>
      </c>
      <c r="BH38" s="3">
        <v>11</v>
      </c>
      <c r="BI38" s="3">
        <v>12</v>
      </c>
      <c r="BJ38" s="3"/>
      <c r="BK38" s="3">
        <v>12</v>
      </c>
      <c r="BL38" s="3">
        <v>11</v>
      </c>
      <c r="BM38" s="3">
        <v>14</v>
      </c>
      <c r="BN38" s="3"/>
      <c r="BO38" s="8">
        <f t="shared" si="18"/>
        <v>12</v>
      </c>
      <c r="BP38" s="8">
        <f t="shared" si="19"/>
        <v>11</v>
      </c>
      <c r="BQ38" s="3">
        <v>14</v>
      </c>
      <c r="BR38" s="3">
        <v>14</v>
      </c>
      <c r="BS38" s="3"/>
      <c r="BT38" s="3"/>
      <c r="BU38" s="10">
        <f t="shared" si="20"/>
        <v>14</v>
      </c>
      <c r="BV38" s="3">
        <v>14</v>
      </c>
      <c r="BW38" s="3">
        <v>14</v>
      </c>
      <c r="BX38" s="3"/>
      <c r="BY38" s="3"/>
      <c r="BZ38" s="11">
        <f t="shared" si="3"/>
        <v>14</v>
      </c>
      <c r="CA38" s="3">
        <v>14</v>
      </c>
      <c r="CB38" s="3">
        <v>15</v>
      </c>
      <c r="CC38" s="3"/>
      <c r="CD38" s="3"/>
      <c r="CE38" s="12">
        <f t="shared" si="5"/>
        <v>15</v>
      </c>
      <c r="CF38" s="3">
        <v>14</v>
      </c>
      <c r="CG38" s="3">
        <v>16</v>
      </c>
      <c r="CH38" s="3"/>
      <c r="CI38" s="3"/>
      <c r="CJ38" s="13">
        <f t="shared" si="6"/>
        <v>15</v>
      </c>
      <c r="CK38" s="3">
        <v>12</v>
      </c>
      <c r="CL38" s="3">
        <v>11</v>
      </c>
      <c r="CM38" s="3"/>
      <c r="CN38" s="3"/>
      <c r="CO38" s="14">
        <f t="shared" si="22"/>
        <v>12</v>
      </c>
      <c r="CP38" s="3">
        <v>14</v>
      </c>
      <c r="CQ38" s="3">
        <v>14</v>
      </c>
      <c r="CR38" s="3"/>
      <c r="CS38" s="3"/>
      <c r="CT38" s="15">
        <f t="shared" si="7"/>
        <v>14</v>
      </c>
      <c r="CU38" s="16">
        <f t="shared" si="25"/>
        <v>246</v>
      </c>
      <c r="CV38" s="16">
        <f t="shared" si="26"/>
        <v>250</v>
      </c>
      <c r="CW38" s="16"/>
      <c r="CX38" s="15"/>
      <c r="CY38" s="16">
        <f t="shared" si="21"/>
        <v>572</v>
      </c>
      <c r="CZ38" s="17"/>
    </row>
    <row r="39" spans="1:105" s="18" customFormat="1" ht="15.75" customHeight="1">
      <c r="A39" s="19">
        <f t="shared" si="11"/>
        <v>38</v>
      </c>
      <c r="B39" s="85" t="s">
        <v>39</v>
      </c>
      <c r="C39" s="28" t="s">
        <v>161</v>
      </c>
      <c r="D39" s="20" t="s">
        <v>5</v>
      </c>
      <c r="E39" s="21">
        <v>14</v>
      </c>
      <c r="F39" s="21">
        <v>16</v>
      </c>
      <c r="G39" s="21"/>
      <c r="H39" s="21"/>
      <c r="I39" s="21">
        <v>17</v>
      </c>
      <c r="J39" s="21">
        <v>17</v>
      </c>
      <c r="K39" s="21">
        <v>17</v>
      </c>
      <c r="L39" s="21">
        <v>17</v>
      </c>
      <c r="M39" s="21">
        <v>17</v>
      </c>
      <c r="N39" s="21">
        <v>17</v>
      </c>
      <c r="O39" s="21">
        <v>17</v>
      </c>
      <c r="P39" s="21">
        <v>17</v>
      </c>
      <c r="Q39" s="21">
        <v>15</v>
      </c>
      <c r="R39" s="21">
        <v>15</v>
      </c>
      <c r="S39" s="21"/>
      <c r="T39" s="21"/>
      <c r="U39" s="21">
        <v>14</v>
      </c>
      <c r="V39" s="21">
        <v>15</v>
      </c>
      <c r="W39" s="21"/>
      <c r="X39" s="21"/>
      <c r="Y39" s="5">
        <f t="shared" si="12"/>
        <v>15</v>
      </c>
      <c r="Z39" s="5">
        <f t="shared" si="13"/>
        <v>16</v>
      </c>
      <c r="AA39" s="21">
        <v>17</v>
      </c>
      <c r="AB39" s="21">
        <v>16</v>
      </c>
      <c r="AC39" s="21">
        <v>17</v>
      </c>
      <c r="AD39" s="21"/>
      <c r="AE39" s="21">
        <v>16</v>
      </c>
      <c r="AF39" s="21">
        <v>16</v>
      </c>
      <c r="AG39" s="21">
        <v>13</v>
      </c>
      <c r="AH39" s="21"/>
      <c r="AI39" s="21">
        <v>14</v>
      </c>
      <c r="AJ39" s="21">
        <v>15</v>
      </c>
      <c r="AK39" s="21"/>
      <c r="AL39" s="21"/>
      <c r="AM39" s="21">
        <v>16</v>
      </c>
      <c r="AN39" s="21">
        <v>15</v>
      </c>
      <c r="AO39" s="21">
        <v>14</v>
      </c>
      <c r="AP39" s="21"/>
      <c r="AQ39" s="6">
        <f t="shared" si="14"/>
        <v>16</v>
      </c>
      <c r="AR39" s="6">
        <f t="shared" si="27"/>
        <v>16</v>
      </c>
      <c r="AS39" s="21">
        <v>14</v>
      </c>
      <c r="AT39" s="21">
        <v>16</v>
      </c>
      <c r="AU39" s="21"/>
      <c r="AV39" s="21"/>
      <c r="AW39" s="21"/>
      <c r="AX39" s="21"/>
      <c r="AY39" s="21"/>
      <c r="AZ39" s="21"/>
      <c r="BA39" s="21">
        <v>17</v>
      </c>
      <c r="BB39" s="21">
        <v>17</v>
      </c>
      <c r="BC39" s="21">
        <v>17</v>
      </c>
      <c r="BD39" s="21">
        <v>17</v>
      </c>
      <c r="BE39" s="7">
        <f t="shared" si="16"/>
        <v>16</v>
      </c>
      <c r="BF39" s="7">
        <f t="shared" si="28"/>
        <v>17</v>
      </c>
      <c r="BG39" s="21">
        <v>16</v>
      </c>
      <c r="BH39" s="21">
        <v>16</v>
      </c>
      <c r="BI39" s="21">
        <v>16</v>
      </c>
      <c r="BJ39" s="21"/>
      <c r="BK39" s="21">
        <v>14</v>
      </c>
      <c r="BL39" s="21">
        <v>14</v>
      </c>
      <c r="BM39" s="21">
        <v>14</v>
      </c>
      <c r="BN39" s="21"/>
      <c r="BO39" s="8">
        <f t="shared" si="18"/>
        <v>15</v>
      </c>
      <c r="BP39" s="8">
        <f t="shared" si="19"/>
        <v>15</v>
      </c>
      <c r="BQ39" s="21"/>
      <c r="BR39" s="21"/>
      <c r="BS39" s="21"/>
      <c r="BT39" s="21"/>
      <c r="BU39" s="10" t="e">
        <f t="shared" si="20"/>
        <v>#DIV/0!</v>
      </c>
      <c r="BV39" s="21"/>
      <c r="BW39" s="21"/>
      <c r="BX39" s="21"/>
      <c r="BY39" s="21"/>
      <c r="BZ39" s="23" t="e">
        <f t="shared" si="3"/>
        <v>#DIV/0!</v>
      </c>
      <c r="CA39" s="21"/>
      <c r="CB39" s="21"/>
      <c r="CC39" s="21"/>
      <c r="CD39" s="21"/>
      <c r="CE39" s="23" t="e">
        <f t="shared" si="5"/>
        <v>#DIV/0!</v>
      </c>
      <c r="CF39" s="21"/>
      <c r="CG39" s="21"/>
      <c r="CH39" s="21"/>
      <c r="CI39" s="21"/>
      <c r="CJ39" s="23" t="e">
        <f t="shared" si="6"/>
        <v>#DIV/0!</v>
      </c>
      <c r="CK39" s="21"/>
      <c r="CL39" s="21"/>
      <c r="CM39" s="21"/>
      <c r="CN39" s="21"/>
      <c r="CO39" s="23" t="e">
        <f t="shared" si="22"/>
        <v>#DIV/0!</v>
      </c>
      <c r="CP39" s="21"/>
      <c r="CQ39" s="21"/>
      <c r="CR39" s="21"/>
      <c r="CS39" s="21"/>
      <c r="CT39" s="15" t="e">
        <f t="shared" si="7"/>
        <v>#DIV/0!</v>
      </c>
      <c r="CU39" s="16">
        <f t="shared" si="25"/>
        <v>201</v>
      </c>
      <c r="CV39" s="16">
        <f t="shared" si="26"/>
        <v>205</v>
      </c>
      <c r="CW39" s="16"/>
      <c r="CX39" s="15"/>
      <c r="CY39" s="16">
        <f t="shared" si="21"/>
        <v>575</v>
      </c>
      <c r="CZ39" s="17"/>
    </row>
    <row r="40" spans="1:105" s="18" customFormat="1" ht="15.75" customHeight="1">
      <c r="A40" s="19">
        <f t="shared" si="11"/>
        <v>39</v>
      </c>
      <c r="B40" s="2" t="s">
        <v>40</v>
      </c>
      <c r="C40" s="28" t="s">
        <v>161</v>
      </c>
      <c r="D40" s="2" t="s">
        <v>1</v>
      </c>
      <c r="E40" s="3">
        <v>16</v>
      </c>
      <c r="F40" s="3">
        <v>16</v>
      </c>
      <c r="G40" s="3"/>
      <c r="H40" s="3"/>
      <c r="I40" s="3">
        <v>16</v>
      </c>
      <c r="J40" s="3">
        <v>16</v>
      </c>
      <c r="K40" s="3">
        <v>8</v>
      </c>
      <c r="L40" s="3">
        <v>16</v>
      </c>
      <c r="M40" s="3">
        <v>17</v>
      </c>
      <c r="N40" s="3">
        <v>16</v>
      </c>
      <c r="O40" s="3">
        <v>8</v>
      </c>
      <c r="P40" s="3">
        <v>16</v>
      </c>
      <c r="Q40" s="3">
        <v>15</v>
      </c>
      <c r="R40" s="3">
        <v>16</v>
      </c>
      <c r="S40" s="3"/>
      <c r="T40" s="3"/>
      <c r="U40" s="3">
        <v>16</v>
      </c>
      <c r="V40" s="3">
        <v>15</v>
      </c>
      <c r="W40" s="3"/>
      <c r="X40" s="3"/>
      <c r="Y40" s="5">
        <f t="shared" si="12"/>
        <v>16</v>
      </c>
      <c r="Z40" s="5">
        <f t="shared" si="13"/>
        <v>16</v>
      </c>
      <c r="AA40" s="3">
        <v>13</v>
      </c>
      <c r="AB40" s="3">
        <v>13</v>
      </c>
      <c r="AC40" s="3">
        <v>8</v>
      </c>
      <c r="AD40" s="3"/>
      <c r="AE40" s="3">
        <v>13</v>
      </c>
      <c r="AF40" s="3">
        <v>13</v>
      </c>
      <c r="AG40" s="3">
        <v>8</v>
      </c>
      <c r="AH40" s="3"/>
      <c r="AI40" s="3">
        <v>16</v>
      </c>
      <c r="AJ40" s="3">
        <v>17</v>
      </c>
      <c r="AK40" s="3"/>
      <c r="AL40" s="3"/>
      <c r="AM40" s="3">
        <v>13</v>
      </c>
      <c r="AN40" s="3">
        <v>13</v>
      </c>
      <c r="AO40" s="3">
        <v>8</v>
      </c>
      <c r="AP40" s="3"/>
      <c r="AQ40" s="6">
        <f t="shared" si="14"/>
        <v>14</v>
      </c>
      <c r="AR40" s="6">
        <f t="shared" si="27"/>
        <v>14</v>
      </c>
      <c r="AS40" s="3">
        <v>13</v>
      </c>
      <c r="AT40" s="3">
        <v>13</v>
      </c>
      <c r="AU40" s="3"/>
      <c r="AV40" s="3"/>
      <c r="AW40" s="3">
        <v>16</v>
      </c>
      <c r="AX40" s="3">
        <v>15</v>
      </c>
      <c r="AY40" s="3"/>
      <c r="AZ40" s="3"/>
      <c r="BA40" s="3">
        <v>16</v>
      </c>
      <c r="BB40" s="3">
        <v>17</v>
      </c>
      <c r="BC40" s="3">
        <v>8</v>
      </c>
      <c r="BD40" s="3">
        <v>8</v>
      </c>
      <c r="BE40" s="7">
        <f t="shared" si="16"/>
        <v>15</v>
      </c>
      <c r="BF40" s="7">
        <f t="shared" si="28"/>
        <v>15</v>
      </c>
      <c r="BG40" s="3">
        <v>14</v>
      </c>
      <c r="BH40" s="3">
        <v>15</v>
      </c>
      <c r="BI40" s="3"/>
      <c r="BJ40" s="3"/>
      <c r="BK40" s="3">
        <v>15</v>
      </c>
      <c r="BL40" s="3">
        <v>15</v>
      </c>
      <c r="BM40" s="3"/>
      <c r="BN40" s="3"/>
      <c r="BO40" s="8">
        <f t="shared" si="18"/>
        <v>15</v>
      </c>
      <c r="BP40" s="8">
        <f t="shared" si="19"/>
        <v>15</v>
      </c>
      <c r="BQ40" s="3">
        <v>15</v>
      </c>
      <c r="BR40" s="3">
        <v>15</v>
      </c>
      <c r="BS40" s="3"/>
      <c r="BT40" s="3"/>
      <c r="BU40" s="10">
        <f t="shared" si="20"/>
        <v>15</v>
      </c>
      <c r="BV40" s="3">
        <v>15</v>
      </c>
      <c r="BW40" s="3">
        <v>15</v>
      </c>
      <c r="BX40" s="3"/>
      <c r="BY40" s="3"/>
      <c r="BZ40" s="11">
        <f t="shared" si="3"/>
        <v>15</v>
      </c>
      <c r="CA40" s="3">
        <v>15</v>
      </c>
      <c r="CB40" s="3">
        <v>18</v>
      </c>
      <c r="CC40" s="3"/>
      <c r="CD40" s="3"/>
      <c r="CE40" s="12">
        <f t="shared" si="5"/>
        <v>17</v>
      </c>
      <c r="CF40" s="3">
        <v>15</v>
      </c>
      <c r="CG40" s="3">
        <v>15</v>
      </c>
      <c r="CH40" s="3"/>
      <c r="CI40" s="3"/>
      <c r="CJ40" s="13">
        <f t="shared" si="6"/>
        <v>15</v>
      </c>
      <c r="CK40" s="3">
        <v>15</v>
      </c>
      <c r="CL40" s="3">
        <v>15</v>
      </c>
      <c r="CM40" s="3"/>
      <c r="CN40" s="3"/>
      <c r="CO40" s="14">
        <f t="shared" si="22"/>
        <v>15</v>
      </c>
      <c r="CP40" s="3">
        <v>15</v>
      </c>
      <c r="CQ40" s="3">
        <v>15</v>
      </c>
      <c r="CR40" s="3"/>
      <c r="CS40" s="3"/>
      <c r="CT40" s="15">
        <f t="shared" si="7"/>
        <v>15</v>
      </c>
      <c r="CU40" s="16">
        <f t="shared" si="25"/>
        <v>284</v>
      </c>
      <c r="CV40" s="16">
        <f t="shared" si="26"/>
        <v>288</v>
      </c>
      <c r="CW40" s="16"/>
      <c r="CX40" s="15"/>
      <c r="CY40" s="16">
        <f t="shared" si="21"/>
        <v>317</v>
      </c>
      <c r="CZ40" s="24"/>
      <c r="DA40" s="25"/>
    </row>
    <row r="41" spans="1:105" s="18" customFormat="1" ht="15.75" customHeight="1">
      <c r="A41" s="19">
        <f t="shared" si="11"/>
        <v>40</v>
      </c>
      <c r="B41" s="2" t="s">
        <v>41</v>
      </c>
      <c r="C41" s="28" t="s">
        <v>161</v>
      </c>
      <c r="D41" s="2" t="s">
        <v>5</v>
      </c>
      <c r="E41" s="3">
        <v>16</v>
      </c>
      <c r="F41" s="3">
        <v>16</v>
      </c>
      <c r="G41" s="3"/>
      <c r="H41" s="3"/>
      <c r="I41" s="3">
        <v>17</v>
      </c>
      <c r="J41" s="3">
        <v>17</v>
      </c>
      <c r="K41" s="3">
        <v>17</v>
      </c>
      <c r="L41" s="3">
        <v>17</v>
      </c>
      <c r="M41" s="3">
        <v>17</v>
      </c>
      <c r="N41" s="3">
        <v>17</v>
      </c>
      <c r="O41" s="3">
        <v>17</v>
      </c>
      <c r="P41" s="3">
        <v>17</v>
      </c>
      <c r="Q41" s="3">
        <v>16</v>
      </c>
      <c r="R41" s="3">
        <v>16</v>
      </c>
      <c r="S41" s="3"/>
      <c r="T41" s="3"/>
      <c r="U41" s="3">
        <v>16</v>
      </c>
      <c r="V41" s="3">
        <v>16</v>
      </c>
      <c r="W41" s="3"/>
      <c r="X41" s="3"/>
      <c r="Y41" s="5">
        <f t="shared" si="12"/>
        <v>16</v>
      </c>
      <c r="Z41" s="5">
        <f t="shared" si="13"/>
        <v>16</v>
      </c>
      <c r="AA41" s="3">
        <v>13</v>
      </c>
      <c r="AB41" s="3">
        <v>12</v>
      </c>
      <c r="AC41" s="3">
        <v>13</v>
      </c>
      <c r="AD41" s="3"/>
      <c r="AE41" s="3">
        <v>18</v>
      </c>
      <c r="AF41" s="3">
        <v>16</v>
      </c>
      <c r="AG41" s="3">
        <v>17</v>
      </c>
      <c r="AH41" s="3"/>
      <c r="AI41" s="3">
        <v>16</v>
      </c>
      <c r="AJ41" s="3">
        <v>17</v>
      </c>
      <c r="AK41" s="3"/>
      <c r="AL41" s="3"/>
      <c r="AM41" s="3">
        <v>15</v>
      </c>
      <c r="AN41" s="3">
        <v>14</v>
      </c>
      <c r="AO41" s="3">
        <v>13</v>
      </c>
      <c r="AP41" s="3"/>
      <c r="AQ41" s="6">
        <f t="shared" si="14"/>
        <v>16</v>
      </c>
      <c r="AR41" s="6">
        <f t="shared" si="27"/>
        <v>15</v>
      </c>
      <c r="AS41" s="3">
        <v>15</v>
      </c>
      <c r="AT41" s="3">
        <v>15</v>
      </c>
      <c r="AU41" s="3"/>
      <c r="AV41" s="3"/>
      <c r="AW41" s="3">
        <v>13</v>
      </c>
      <c r="AX41" s="3">
        <v>14</v>
      </c>
      <c r="AY41" s="3"/>
      <c r="AZ41" s="3"/>
      <c r="BA41" s="3">
        <v>17</v>
      </c>
      <c r="BB41" s="3">
        <v>17</v>
      </c>
      <c r="BC41" s="3">
        <v>17</v>
      </c>
      <c r="BD41" s="3">
        <v>17</v>
      </c>
      <c r="BE41" s="7">
        <f t="shared" si="16"/>
        <v>15</v>
      </c>
      <c r="BF41" s="7">
        <f t="shared" si="28"/>
        <v>15</v>
      </c>
      <c r="BG41" s="3">
        <v>14</v>
      </c>
      <c r="BH41" s="3">
        <v>14</v>
      </c>
      <c r="BI41" s="3">
        <v>16</v>
      </c>
      <c r="BJ41" s="3"/>
      <c r="BK41" s="3">
        <v>14</v>
      </c>
      <c r="BL41" s="3">
        <v>14</v>
      </c>
      <c r="BM41" s="3">
        <v>16</v>
      </c>
      <c r="BN41" s="3"/>
      <c r="BO41" s="8">
        <f t="shared" si="18"/>
        <v>14</v>
      </c>
      <c r="BP41" s="8">
        <f t="shared" si="19"/>
        <v>14</v>
      </c>
      <c r="BQ41" s="3">
        <v>14</v>
      </c>
      <c r="BR41" s="3">
        <v>14</v>
      </c>
      <c r="BS41" s="3"/>
      <c r="BT41" s="3"/>
      <c r="BU41" s="10">
        <f t="shared" si="20"/>
        <v>14</v>
      </c>
      <c r="BV41" s="3">
        <v>14</v>
      </c>
      <c r="BW41" s="3">
        <v>14</v>
      </c>
      <c r="BX41" s="3"/>
      <c r="BY41" s="3"/>
      <c r="BZ41" s="11">
        <f t="shared" si="3"/>
        <v>14</v>
      </c>
      <c r="CA41" s="3">
        <v>14</v>
      </c>
      <c r="CB41" s="3">
        <v>15</v>
      </c>
      <c r="CC41" s="3"/>
      <c r="CD41" s="3"/>
      <c r="CE41" s="12">
        <f t="shared" si="5"/>
        <v>15</v>
      </c>
      <c r="CF41" s="3">
        <v>14</v>
      </c>
      <c r="CG41" s="3">
        <v>16</v>
      </c>
      <c r="CH41" s="3"/>
      <c r="CI41" s="3"/>
      <c r="CJ41" s="13">
        <f t="shared" si="6"/>
        <v>15</v>
      </c>
      <c r="CK41" s="3">
        <v>14</v>
      </c>
      <c r="CL41" s="3">
        <v>14</v>
      </c>
      <c r="CM41" s="3"/>
      <c r="CN41" s="3"/>
      <c r="CO41" s="14">
        <f t="shared" si="22"/>
        <v>14</v>
      </c>
      <c r="CP41" s="3">
        <v>14</v>
      </c>
      <c r="CQ41" s="3">
        <v>14</v>
      </c>
      <c r="CR41" s="3"/>
      <c r="CS41" s="3"/>
      <c r="CT41" s="15">
        <f t="shared" si="7"/>
        <v>14</v>
      </c>
      <c r="CU41" s="16">
        <f t="shared" si="25"/>
        <v>287</v>
      </c>
      <c r="CV41" s="16">
        <f t="shared" si="26"/>
        <v>288</v>
      </c>
      <c r="CW41" s="16"/>
      <c r="CX41" s="15"/>
      <c r="CY41" s="16">
        <f t="shared" si="21"/>
        <v>644</v>
      </c>
      <c r="CZ41" s="17"/>
    </row>
    <row r="42" spans="1:105" s="18" customFormat="1" ht="15.75" customHeight="1">
      <c r="A42" s="19">
        <f t="shared" si="11"/>
        <v>41</v>
      </c>
      <c r="B42" s="85" t="s">
        <v>42</v>
      </c>
      <c r="C42" s="28" t="s">
        <v>161</v>
      </c>
      <c r="D42" s="20" t="s">
        <v>5</v>
      </c>
      <c r="E42" s="21">
        <v>15</v>
      </c>
      <c r="F42" s="21">
        <v>16</v>
      </c>
      <c r="G42" s="21"/>
      <c r="H42" s="21"/>
      <c r="I42" s="21"/>
      <c r="J42" s="21">
        <v>18</v>
      </c>
      <c r="K42" s="21">
        <v>18</v>
      </c>
      <c r="L42" s="21">
        <v>18</v>
      </c>
      <c r="M42" s="21">
        <v>18</v>
      </c>
      <c r="N42" s="21">
        <v>18</v>
      </c>
      <c r="O42" s="21">
        <v>18</v>
      </c>
      <c r="P42" s="21">
        <v>18</v>
      </c>
      <c r="Q42" s="21">
        <v>15</v>
      </c>
      <c r="R42" s="21">
        <v>16</v>
      </c>
      <c r="S42" s="21"/>
      <c r="T42" s="21"/>
      <c r="U42" s="21">
        <v>15</v>
      </c>
      <c r="V42" s="21">
        <v>17</v>
      </c>
      <c r="W42" s="21"/>
      <c r="X42" s="21"/>
      <c r="Y42" s="5">
        <f t="shared" si="12"/>
        <v>16</v>
      </c>
      <c r="Z42" s="5">
        <f t="shared" si="13"/>
        <v>17</v>
      </c>
      <c r="AA42" s="21">
        <v>16</v>
      </c>
      <c r="AB42" s="21">
        <v>15</v>
      </c>
      <c r="AC42" s="21">
        <v>12</v>
      </c>
      <c r="AD42" s="21"/>
      <c r="AE42" s="21">
        <v>13</v>
      </c>
      <c r="AF42" s="21">
        <v>15</v>
      </c>
      <c r="AG42" s="21">
        <v>12</v>
      </c>
      <c r="AH42" s="21"/>
      <c r="AI42" s="21"/>
      <c r="AJ42" s="21"/>
      <c r="AK42" s="21"/>
      <c r="AL42" s="21"/>
      <c r="AM42" s="21">
        <v>14</v>
      </c>
      <c r="AN42" s="21">
        <v>14</v>
      </c>
      <c r="AO42" s="21">
        <v>13</v>
      </c>
      <c r="AP42" s="21"/>
      <c r="AQ42" s="6">
        <f t="shared" si="14"/>
        <v>14</v>
      </c>
      <c r="AR42" s="6">
        <f t="shared" si="27"/>
        <v>15</v>
      </c>
      <c r="AS42" s="21"/>
      <c r="AT42" s="21"/>
      <c r="AU42" s="21"/>
      <c r="AV42" s="21"/>
      <c r="AW42" s="21"/>
      <c r="AX42" s="21"/>
      <c r="AY42" s="21"/>
      <c r="AZ42" s="21"/>
      <c r="BA42" s="21"/>
      <c r="BB42" s="21">
        <v>18</v>
      </c>
      <c r="BC42" s="21">
        <v>12</v>
      </c>
      <c r="BD42" s="21">
        <v>12</v>
      </c>
      <c r="BE42" s="7" t="e">
        <f t="shared" si="16"/>
        <v>#DIV/0!</v>
      </c>
      <c r="BF42" s="7">
        <f t="shared" si="28"/>
        <v>18</v>
      </c>
      <c r="BG42" s="21">
        <v>16</v>
      </c>
      <c r="BH42" s="21">
        <v>14</v>
      </c>
      <c r="BI42" s="21">
        <v>16</v>
      </c>
      <c r="BJ42" s="21"/>
      <c r="BK42" s="21">
        <v>18</v>
      </c>
      <c r="BL42" s="21">
        <v>16</v>
      </c>
      <c r="BM42" s="21">
        <v>16</v>
      </c>
      <c r="BN42" s="21"/>
      <c r="BO42" s="8">
        <f t="shared" si="18"/>
        <v>17</v>
      </c>
      <c r="BP42" s="8">
        <f t="shared" si="19"/>
        <v>15</v>
      </c>
      <c r="BQ42" s="21"/>
      <c r="BR42" s="21"/>
      <c r="BS42" s="21"/>
      <c r="BT42" s="21"/>
      <c r="BU42" s="10" t="e">
        <f t="shared" si="20"/>
        <v>#DIV/0!</v>
      </c>
      <c r="BV42" s="21"/>
      <c r="BW42" s="21"/>
      <c r="BX42" s="21"/>
      <c r="BY42" s="21"/>
      <c r="BZ42" s="23" t="e">
        <f t="shared" si="3"/>
        <v>#DIV/0!</v>
      </c>
      <c r="CA42" s="21"/>
      <c r="CB42" s="21"/>
      <c r="CC42" s="21"/>
      <c r="CD42" s="21"/>
      <c r="CE42" s="23" t="e">
        <f t="shared" si="5"/>
        <v>#DIV/0!</v>
      </c>
      <c r="CF42" s="21"/>
      <c r="CG42" s="21"/>
      <c r="CH42" s="21"/>
      <c r="CI42" s="21"/>
      <c r="CJ42" s="23" t="e">
        <f t="shared" si="6"/>
        <v>#DIV/0!</v>
      </c>
      <c r="CK42" s="21"/>
      <c r="CL42" s="21"/>
      <c r="CM42" s="21"/>
      <c r="CN42" s="21"/>
      <c r="CO42" s="23" t="e">
        <f t="shared" si="22"/>
        <v>#DIV/0!</v>
      </c>
      <c r="CP42" s="21"/>
      <c r="CQ42" s="21"/>
      <c r="CR42" s="21"/>
      <c r="CS42" s="21"/>
      <c r="CT42" s="15" t="e">
        <f t="shared" si="7"/>
        <v>#DIV/0!</v>
      </c>
      <c r="CU42" s="16">
        <f t="shared" si="25"/>
        <v>140</v>
      </c>
      <c r="CV42" s="16">
        <f t="shared" si="26"/>
        <v>177</v>
      </c>
      <c r="CW42" s="16"/>
      <c r="CX42" s="15"/>
      <c r="CY42" s="16">
        <f t="shared" si="21"/>
        <v>616</v>
      </c>
      <c r="CZ42" s="17"/>
    </row>
    <row r="43" spans="1:105" s="18" customFormat="1" ht="15.75" customHeight="1">
      <c r="A43" s="19">
        <f t="shared" si="11"/>
        <v>42</v>
      </c>
      <c r="B43" s="2" t="s">
        <v>43</v>
      </c>
      <c r="C43" s="28" t="s">
        <v>161</v>
      </c>
      <c r="D43" s="2" t="s">
        <v>5</v>
      </c>
      <c r="E43" s="3">
        <v>17</v>
      </c>
      <c r="F43" s="3">
        <v>18</v>
      </c>
      <c r="G43" s="3"/>
      <c r="H43" s="3"/>
      <c r="I43" s="3">
        <v>16</v>
      </c>
      <c r="J43" s="3">
        <v>16</v>
      </c>
      <c r="K43" s="3">
        <v>16</v>
      </c>
      <c r="L43" s="3">
        <v>16</v>
      </c>
      <c r="M43" s="3">
        <v>16</v>
      </c>
      <c r="N43" s="3">
        <v>17</v>
      </c>
      <c r="O43" s="3">
        <v>17</v>
      </c>
      <c r="P43" s="3">
        <v>17</v>
      </c>
      <c r="Q43" s="3">
        <v>17</v>
      </c>
      <c r="R43" s="3">
        <v>17</v>
      </c>
      <c r="S43" s="3"/>
      <c r="T43" s="3"/>
      <c r="U43" s="3">
        <v>16</v>
      </c>
      <c r="V43" s="3">
        <v>18</v>
      </c>
      <c r="W43" s="3"/>
      <c r="X43" s="3"/>
      <c r="Y43" s="5">
        <f t="shared" si="12"/>
        <v>16</v>
      </c>
      <c r="Z43" s="5">
        <f t="shared" si="13"/>
        <v>17</v>
      </c>
      <c r="AA43" s="3">
        <v>13</v>
      </c>
      <c r="AB43" s="3">
        <v>13</v>
      </c>
      <c r="AC43" s="3">
        <v>15</v>
      </c>
      <c r="AD43" s="3"/>
      <c r="AE43" s="3">
        <v>17</v>
      </c>
      <c r="AF43" s="3">
        <v>15</v>
      </c>
      <c r="AG43" s="3">
        <v>18</v>
      </c>
      <c r="AH43" s="3"/>
      <c r="AI43" s="3">
        <v>15</v>
      </c>
      <c r="AJ43" s="3">
        <v>15</v>
      </c>
      <c r="AK43" s="3"/>
      <c r="AL43" s="3"/>
      <c r="AM43" s="3">
        <v>16</v>
      </c>
      <c r="AN43" s="3">
        <v>14</v>
      </c>
      <c r="AO43" s="3">
        <v>15</v>
      </c>
      <c r="AP43" s="3"/>
      <c r="AQ43" s="6">
        <f t="shared" si="14"/>
        <v>15</v>
      </c>
      <c r="AR43" s="6">
        <f t="shared" si="27"/>
        <v>14</v>
      </c>
      <c r="AS43" s="3">
        <v>15</v>
      </c>
      <c r="AT43" s="3">
        <v>16</v>
      </c>
      <c r="AU43" s="3"/>
      <c r="AV43" s="3"/>
      <c r="AW43" s="3">
        <v>17</v>
      </c>
      <c r="AX43" s="3">
        <v>19</v>
      </c>
      <c r="AY43" s="3"/>
      <c r="AZ43" s="3"/>
      <c r="BA43" s="3">
        <v>16</v>
      </c>
      <c r="BB43" s="3">
        <v>16</v>
      </c>
      <c r="BC43" s="3">
        <v>16</v>
      </c>
      <c r="BD43" s="3">
        <v>16</v>
      </c>
      <c r="BE43" s="7">
        <f t="shared" si="16"/>
        <v>16</v>
      </c>
      <c r="BF43" s="7">
        <f t="shared" si="28"/>
        <v>17</v>
      </c>
      <c r="BG43" s="3">
        <v>18</v>
      </c>
      <c r="BH43" s="3">
        <v>19</v>
      </c>
      <c r="BI43" s="3">
        <v>18</v>
      </c>
      <c r="BJ43" s="3"/>
      <c r="BK43" s="3">
        <v>18</v>
      </c>
      <c r="BL43" s="3">
        <v>19</v>
      </c>
      <c r="BM43" s="3">
        <v>16</v>
      </c>
      <c r="BN43" s="3"/>
      <c r="BO43" s="8">
        <f t="shared" si="18"/>
        <v>18</v>
      </c>
      <c r="BP43" s="8">
        <f t="shared" si="19"/>
        <v>19</v>
      </c>
      <c r="BQ43" s="3">
        <v>19</v>
      </c>
      <c r="BR43" s="3">
        <v>19</v>
      </c>
      <c r="BS43" s="3"/>
      <c r="BT43" s="3"/>
      <c r="BU43" s="10">
        <f t="shared" si="20"/>
        <v>19</v>
      </c>
      <c r="BV43" s="3">
        <v>19</v>
      </c>
      <c r="BW43" s="3">
        <v>19</v>
      </c>
      <c r="BX43" s="3"/>
      <c r="BY43" s="3"/>
      <c r="BZ43" s="11">
        <f t="shared" si="3"/>
        <v>19</v>
      </c>
      <c r="CA43" s="3">
        <v>17</v>
      </c>
      <c r="CB43" s="3">
        <v>18</v>
      </c>
      <c r="CC43" s="3"/>
      <c r="CD43" s="3"/>
      <c r="CE43" s="12">
        <f t="shared" si="5"/>
        <v>18</v>
      </c>
      <c r="CF43" s="3">
        <v>19</v>
      </c>
      <c r="CG43" s="3">
        <v>18</v>
      </c>
      <c r="CH43" s="3"/>
      <c r="CI43" s="3"/>
      <c r="CJ43" s="13">
        <f t="shared" si="6"/>
        <v>19</v>
      </c>
      <c r="CK43" s="3">
        <v>18</v>
      </c>
      <c r="CL43" s="3">
        <v>19</v>
      </c>
      <c r="CM43" s="3"/>
      <c r="CN43" s="3"/>
      <c r="CO43" s="14">
        <f t="shared" si="22"/>
        <v>19</v>
      </c>
      <c r="CP43" s="3">
        <v>19</v>
      </c>
      <c r="CQ43" s="3">
        <v>19</v>
      </c>
      <c r="CR43" s="3"/>
      <c r="CS43" s="3"/>
      <c r="CT43" s="15">
        <f t="shared" si="7"/>
        <v>19</v>
      </c>
      <c r="CU43" s="16">
        <f t="shared" si="25"/>
        <v>319</v>
      </c>
      <c r="CV43" s="16">
        <f t="shared" si="26"/>
        <v>325</v>
      </c>
      <c r="CW43" s="16"/>
      <c r="CX43" s="15"/>
      <c r="CY43" s="16">
        <f t="shared" si="21"/>
        <v>549</v>
      </c>
      <c r="CZ43" s="17"/>
    </row>
    <row r="44" spans="1:105" s="18" customFormat="1" ht="15.75" customHeight="1">
      <c r="A44" s="19">
        <f t="shared" si="11"/>
        <v>43</v>
      </c>
      <c r="B44" s="2" t="s">
        <v>44</v>
      </c>
      <c r="C44" s="28" t="s">
        <v>161</v>
      </c>
      <c r="D44" s="2" t="s">
        <v>5</v>
      </c>
      <c r="E44" s="3">
        <v>16</v>
      </c>
      <c r="F44" s="3">
        <v>17</v>
      </c>
      <c r="G44" s="3"/>
      <c r="H44" s="3"/>
      <c r="I44" s="3">
        <v>16</v>
      </c>
      <c r="J44" s="3">
        <v>16</v>
      </c>
      <c r="K44" s="3">
        <v>16</v>
      </c>
      <c r="L44" s="3">
        <v>16</v>
      </c>
      <c r="M44" s="3">
        <v>16</v>
      </c>
      <c r="N44" s="3">
        <v>17</v>
      </c>
      <c r="O44" s="3">
        <v>17</v>
      </c>
      <c r="P44" s="3">
        <v>17</v>
      </c>
      <c r="Q44" s="3">
        <v>16</v>
      </c>
      <c r="R44" s="3">
        <v>17</v>
      </c>
      <c r="S44" s="3"/>
      <c r="T44" s="3"/>
      <c r="U44" s="3">
        <v>16</v>
      </c>
      <c r="V44" s="3">
        <v>17</v>
      </c>
      <c r="W44" s="3"/>
      <c r="X44" s="3"/>
      <c r="Y44" s="5">
        <f t="shared" si="12"/>
        <v>16</v>
      </c>
      <c r="Z44" s="5">
        <f t="shared" si="13"/>
        <v>17</v>
      </c>
      <c r="AA44" s="3">
        <v>12</v>
      </c>
      <c r="AB44" s="3">
        <v>12</v>
      </c>
      <c r="AC44" s="3">
        <v>8</v>
      </c>
      <c r="AD44" s="3"/>
      <c r="AE44" s="3">
        <v>18</v>
      </c>
      <c r="AF44" s="3">
        <v>16</v>
      </c>
      <c r="AG44" s="3">
        <v>18</v>
      </c>
      <c r="AH44" s="3"/>
      <c r="AI44" s="3">
        <v>17</v>
      </c>
      <c r="AJ44" s="3">
        <v>18</v>
      </c>
      <c r="AK44" s="3"/>
      <c r="AL44" s="3"/>
      <c r="AM44" s="3">
        <v>14</v>
      </c>
      <c r="AN44" s="3">
        <v>13</v>
      </c>
      <c r="AO44" s="3">
        <v>13</v>
      </c>
      <c r="AP44" s="3"/>
      <c r="AQ44" s="6">
        <f t="shared" si="14"/>
        <v>15</v>
      </c>
      <c r="AR44" s="6">
        <f t="shared" si="27"/>
        <v>15</v>
      </c>
      <c r="AS44" s="3">
        <v>17</v>
      </c>
      <c r="AT44" s="3">
        <v>18</v>
      </c>
      <c r="AU44" s="3"/>
      <c r="AV44" s="3"/>
      <c r="AW44" s="3">
        <v>16</v>
      </c>
      <c r="AX44" s="3">
        <v>17</v>
      </c>
      <c r="AY44" s="3"/>
      <c r="AZ44" s="3"/>
      <c r="BA44" s="3">
        <v>16</v>
      </c>
      <c r="BB44" s="3">
        <v>16</v>
      </c>
      <c r="BC44" s="3">
        <v>16</v>
      </c>
      <c r="BD44" s="3">
        <v>16</v>
      </c>
      <c r="BE44" s="7">
        <f t="shared" si="16"/>
        <v>16</v>
      </c>
      <c r="BF44" s="7">
        <f t="shared" si="28"/>
        <v>17</v>
      </c>
      <c r="BG44" s="3">
        <v>16</v>
      </c>
      <c r="BH44" s="3">
        <v>17</v>
      </c>
      <c r="BI44" s="3">
        <v>18</v>
      </c>
      <c r="BJ44" s="3"/>
      <c r="BK44" s="3">
        <v>16</v>
      </c>
      <c r="BL44" s="3">
        <v>17</v>
      </c>
      <c r="BM44" s="3">
        <v>16</v>
      </c>
      <c r="BN44" s="3"/>
      <c r="BO44" s="8">
        <f t="shared" si="18"/>
        <v>16</v>
      </c>
      <c r="BP44" s="8">
        <f t="shared" si="19"/>
        <v>17</v>
      </c>
      <c r="BQ44" s="3">
        <v>17</v>
      </c>
      <c r="BR44" s="3">
        <v>17</v>
      </c>
      <c r="BS44" s="3"/>
      <c r="BT44" s="3"/>
      <c r="BU44" s="10">
        <f t="shared" si="20"/>
        <v>17</v>
      </c>
      <c r="BV44" s="3">
        <v>17</v>
      </c>
      <c r="BW44" s="3">
        <v>17</v>
      </c>
      <c r="BX44" s="3"/>
      <c r="BY44" s="3"/>
      <c r="BZ44" s="11">
        <f t="shared" si="3"/>
        <v>17</v>
      </c>
      <c r="CA44" s="3">
        <v>17</v>
      </c>
      <c r="CB44" s="3">
        <v>14</v>
      </c>
      <c r="CC44" s="3"/>
      <c r="CD44" s="3"/>
      <c r="CE44" s="12">
        <f t="shared" si="5"/>
        <v>16</v>
      </c>
      <c r="CF44" s="3">
        <v>17</v>
      </c>
      <c r="CG44" s="3">
        <v>17</v>
      </c>
      <c r="CH44" s="3"/>
      <c r="CI44" s="3"/>
      <c r="CJ44" s="13">
        <f t="shared" si="6"/>
        <v>17</v>
      </c>
      <c r="CK44" s="3">
        <v>16</v>
      </c>
      <c r="CL44" s="3">
        <v>17</v>
      </c>
      <c r="CM44" s="3"/>
      <c r="CN44" s="3"/>
      <c r="CO44" s="14">
        <f t="shared" si="22"/>
        <v>17</v>
      </c>
      <c r="CP44" s="3">
        <v>17</v>
      </c>
      <c r="CQ44" s="3">
        <v>17</v>
      </c>
      <c r="CR44" s="3"/>
      <c r="CS44" s="3"/>
      <c r="CT44" s="15">
        <f t="shared" si="7"/>
        <v>17</v>
      </c>
      <c r="CU44" s="16">
        <f t="shared" si="25"/>
        <v>306</v>
      </c>
      <c r="CV44" s="16">
        <f t="shared" si="26"/>
        <v>310</v>
      </c>
      <c r="CW44" s="16"/>
      <c r="CX44" s="15"/>
      <c r="CY44" s="16">
        <f t="shared" si="21"/>
        <v>622</v>
      </c>
      <c r="CZ44" s="17"/>
    </row>
    <row r="45" spans="1:105" s="18" customFormat="1" ht="15.75" customHeight="1">
      <c r="A45" s="19">
        <f t="shared" si="11"/>
        <v>44</v>
      </c>
      <c r="B45" s="83" t="s">
        <v>45</v>
      </c>
      <c r="C45" s="28" t="s">
        <v>161</v>
      </c>
      <c r="D45" s="2" t="s">
        <v>1</v>
      </c>
      <c r="E45" s="3">
        <v>16</v>
      </c>
      <c r="F45" s="3">
        <v>17</v>
      </c>
      <c r="G45" s="3"/>
      <c r="H45" s="3"/>
      <c r="I45" s="3">
        <v>17</v>
      </c>
      <c r="J45" s="3">
        <v>16</v>
      </c>
      <c r="K45" s="3">
        <v>16</v>
      </c>
      <c r="L45" s="3">
        <v>16</v>
      </c>
      <c r="M45" s="3">
        <v>17</v>
      </c>
      <c r="N45" s="3">
        <v>17</v>
      </c>
      <c r="O45" s="3">
        <v>15</v>
      </c>
      <c r="P45" s="3">
        <v>17</v>
      </c>
      <c r="Q45" s="3">
        <v>14</v>
      </c>
      <c r="R45" s="3">
        <v>15</v>
      </c>
      <c r="S45" s="3"/>
      <c r="T45" s="3"/>
      <c r="U45" s="3">
        <v>14</v>
      </c>
      <c r="V45" s="3">
        <v>16</v>
      </c>
      <c r="W45" s="3"/>
      <c r="X45" s="3"/>
      <c r="Y45" s="5">
        <f t="shared" si="12"/>
        <v>16</v>
      </c>
      <c r="Z45" s="5">
        <f t="shared" si="13"/>
        <v>16</v>
      </c>
      <c r="AA45" s="3">
        <v>12</v>
      </c>
      <c r="AB45" s="3">
        <v>12</v>
      </c>
      <c r="AC45" s="3">
        <v>13</v>
      </c>
      <c r="AD45" s="3"/>
      <c r="AE45" s="3">
        <v>16</v>
      </c>
      <c r="AF45" s="3">
        <v>16</v>
      </c>
      <c r="AG45" s="3">
        <v>17</v>
      </c>
      <c r="AH45" s="3"/>
      <c r="AI45" s="3">
        <v>13</v>
      </c>
      <c r="AJ45" s="3">
        <v>13</v>
      </c>
      <c r="AK45" s="3"/>
      <c r="AL45" s="3"/>
      <c r="AM45" s="3">
        <v>12</v>
      </c>
      <c r="AN45" s="3">
        <v>13</v>
      </c>
      <c r="AO45" s="3">
        <v>8</v>
      </c>
      <c r="AP45" s="3"/>
      <c r="AQ45" s="6">
        <f t="shared" si="14"/>
        <v>13</v>
      </c>
      <c r="AR45" s="6">
        <f t="shared" si="27"/>
        <v>14</v>
      </c>
      <c r="AS45" s="3">
        <v>13</v>
      </c>
      <c r="AT45" s="3">
        <v>13</v>
      </c>
      <c r="AU45" s="3"/>
      <c r="AV45" s="3"/>
      <c r="AW45" s="3">
        <v>13</v>
      </c>
      <c r="AX45" s="3">
        <v>13</v>
      </c>
      <c r="AY45" s="3"/>
      <c r="AZ45" s="3"/>
      <c r="BA45" s="3">
        <v>17</v>
      </c>
      <c r="BB45" s="3">
        <v>17</v>
      </c>
      <c r="BC45" s="3">
        <v>17</v>
      </c>
      <c r="BD45" s="3">
        <v>17</v>
      </c>
      <c r="BE45" s="7">
        <f t="shared" si="16"/>
        <v>14</v>
      </c>
      <c r="BF45" s="7">
        <f t="shared" si="28"/>
        <v>14</v>
      </c>
      <c r="BG45" s="3">
        <v>14</v>
      </c>
      <c r="BH45" s="3">
        <v>13</v>
      </c>
      <c r="BI45" s="3">
        <v>16</v>
      </c>
      <c r="BJ45" s="3"/>
      <c r="BK45" s="3">
        <v>14</v>
      </c>
      <c r="BL45" s="3">
        <v>13</v>
      </c>
      <c r="BM45" s="3">
        <v>14</v>
      </c>
      <c r="BN45" s="3"/>
      <c r="BO45" s="8">
        <f t="shared" si="18"/>
        <v>14</v>
      </c>
      <c r="BP45" s="8">
        <f t="shared" si="19"/>
        <v>13</v>
      </c>
      <c r="BQ45" s="3">
        <v>13</v>
      </c>
      <c r="BR45" s="3">
        <v>13</v>
      </c>
      <c r="BS45" s="3"/>
      <c r="BT45" s="3"/>
      <c r="BU45" s="10">
        <f t="shared" si="20"/>
        <v>13</v>
      </c>
      <c r="BV45" s="3">
        <v>13</v>
      </c>
      <c r="BW45" s="3">
        <v>13</v>
      </c>
      <c r="BX45" s="3"/>
      <c r="BY45" s="3"/>
      <c r="BZ45" s="11">
        <f t="shared" si="3"/>
        <v>13</v>
      </c>
      <c r="CA45" s="3">
        <v>15</v>
      </c>
      <c r="CB45" s="3">
        <v>18</v>
      </c>
      <c r="CC45" s="3"/>
      <c r="CD45" s="3"/>
      <c r="CE45" s="12">
        <f t="shared" si="5"/>
        <v>17</v>
      </c>
      <c r="CF45" s="3">
        <v>15</v>
      </c>
      <c r="CG45" s="3">
        <v>16</v>
      </c>
      <c r="CH45" s="3"/>
      <c r="CI45" s="3"/>
      <c r="CJ45" s="13">
        <f t="shared" si="6"/>
        <v>16</v>
      </c>
      <c r="CK45" s="3">
        <v>14</v>
      </c>
      <c r="CL45" s="3">
        <v>13</v>
      </c>
      <c r="CM45" s="3"/>
      <c r="CN45" s="3"/>
      <c r="CO45" s="14">
        <f t="shared" si="22"/>
        <v>14</v>
      </c>
      <c r="CP45" s="3">
        <v>15</v>
      </c>
      <c r="CQ45" s="3">
        <v>15</v>
      </c>
      <c r="CR45" s="3"/>
      <c r="CS45" s="3"/>
      <c r="CT45" s="15">
        <f t="shared" si="7"/>
        <v>15</v>
      </c>
      <c r="CU45" s="16">
        <f t="shared" si="25"/>
        <v>272</v>
      </c>
      <c r="CV45" s="16">
        <f t="shared" si="26"/>
        <v>277</v>
      </c>
      <c r="CW45" s="16"/>
      <c r="CX45" s="15"/>
      <c r="CY45" s="16">
        <f t="shared" si="21"/>
        <v>651</v>
      </c>
      <c r="CZ45" s="17"/>
    </row>
    <row r="46" spans="1:105" s="18" customFormat="1" ht="15.75" customHeight="1">
      <c r="A46" s="19">
        <f t="shared" si="11"/>
        <v>45</v>
      </c>
      <c r="B46" s="2" t="s">
        <v>46</v>
      </c>
      <c r="C46" s="28" t="s">
        <v>161</v>
      </c>
      <c r="D46" s="2" t="s">
        <v>5</v>
      </c>
      <c r="E46" s="3">
        <v>16</v>
      </c>
      <c r="F46" s="3">
        <v>16</v>
      </c>
      <c r="G46" s="3"/>
      <c r="H46" s="3"/>
      <c r="I46" s="3">
        <v>17</v>
      </c>
      <c r="J46" s="3">
        <v>17</v>
      </c>
      <c r="K46" s="3">
        <v>17</v>
      </c>
      <c r="L46" s="3">
        <v>17</v>
      </c>
      <c r="M46" s="3">
        <v>16</v>
      </c>
      <c r="N46" s="3">
        <v>17</v>
      </c>
      <c r="O46" s="3">
        <v>12</v>
      </c>
      <c r="P46" s="3">
        <v>17</v>
      </c>
      <c r="Q46" s="3">
        <v>15</v>
      </c>
      <c r="R46" s="3">
        <v>18</v>
      </c>
      <c r="S46" s="3"/>
      <c r="T46" s="3"/>
      <c r="U46" s="3">
        <v>14</v>
      </c>
      <c r="V46" s="3">
        <v>16</v>
      </c>
      <c r="W46" s="3"/>
      <c r="X46" s="3"/>
      <c r="Y46" s="5">
        <f t="shared" si="12"/>
        <v>16</v>
      </c>
      <c r="Z46" s="5">
        <f t="shared" si="13"/>
        <v>17</v>
      </c>
      <c r="AA46" s="3">
        <v>13</v>
      </c>
      <c r="AB46" s="3">
        <v>13</v>
      </c>
      <c r="AC46" s="3">
        <v>8</v>
      </c>
      <c r="AD46" s="3"/>
      <c r="AE46" s="3">
        <v>14</v>
      </c>
      <c r="AF46" s="3">
        <v>14</v>
      </c>
      <c r="AG46" s="3">
        <v>8</v>
      </c>
      <c r="AH46" s="3"/>
      <c r="AI46" s="3">
        <v>18</v>
      </c>
      <c r="AJ46" s="3">
        <v>19</v>
      </c>
      <c r="AK46" s="3"/>
      <c r="AL46" s="3"/>
      <c r="AM46" s="3">
        <v>14</v>
      </c>
      <c r="AN46" s="3">
        <v>14</v>
      </c>
      <c r="AO46" s="3">
        <v>8</v>
      </c>
      <c r="AP46" s="3"/>
      <c r="AQ46" s="6">
        <f t="shared" si="14"/>
        <v>15</v>
      </c>
      <c r="AR46" s="6">
        <f t="shared" si="27"/>
        <v>15</v>
      </c>
      <c r="AS46" s="3">
        <v>15</v>
      </c>
      <c r="AT46" s="3">
        <v>15</v>
      </c>
      <c r="AU46" s="3"/>
      <c r="AV46" s="3"/>
      <c r="AW46" s="3">
        <v>16</v>
      </c>
      <c r="AX46" s="3">
        <v>18</v>
      </c>
      <c r="AY46" s="3"/>
      <c r="AZ46" s="3"/>
      <c r="BA46" s="3">
        <v>17</v>
      </c>
      <c r="BB46" s="3">
        <v>16</v>
      </c>
      <c r="BC46" s="3">
        <v>8</v>
      </c>
      <c r="BD46" s="3">
        <v>8</v>
      </c>
      <c r="BE46" s="7">
        <f t="shared" si="16"/>
        <v>16</v>
      </c>
      <c r="BF46" s="7">
        <f t="shared" si="28"/>
        <v>16</v>
      </c>
      <c r="BG46" s="3">
        <v>17</v>
      </c>
      <c r="BH46" s="3">
        <v>18</v>
      </c>
      <c r="BI46" s="3">
        <v>12</v>
      </c>
      <c r="BJ46" s="3"/>
      <c r="BK46" s="3">
        <v>17</v>
      </c>
      <c r="BL46" s="3">
        <v>18</v>
      </c>
      <c r="BM46" s="3">
        <v>12</v>
      </c>
      <c r="BN46" s="3"/>
      <c r="BO46" s="8">
        <f t="shared" si="18"/>
        <v>17</v>
      </c>
      <c r="BP46" s="8">
        <f t="shared" si="19"/>
        <v>18</v>
      </c>
      <c r="BQ46" s="3">
        <v>18</v>
      </c>
      <c r="BR46" s="3">
        <v>18</v>
      </c>
      <c r="BS46" s="3"/>
      <c r="BT46" s="3"/>
      <c r="BU46" s="10">
        <f t="shared" si="20"/>
        <v>18</v>
      </c>
      <c r="BV46" s="3">
        <v>18</v>
      </c>
      <c r="BW46" s="3">
        <v>18</v>
      </c>
      <c r="BX46" s="3"/>
      <c r="BY46" s="3"/>
      <c r="BZ46" s="11">
        <f t="shared" si="3"/>
        <v>18</v>
      </c>
      <c r="CA46" s="3">
        <v>16</v>
      </c>
      <c r="CB46" s="3">
        <v>15</v>
      </c>
      <c r="CC46" s="3"/>
      <c r="CD46" s="3"/>
      <c r="CE46" s="12">
        <f t="shared" si="5"/>
        <v>16</v>
      </c>
      <c r="CF46" s="3">
        <v>18</v>
      </c>
      <c r="CG46" s="3">
        <v>18</v>
      </c>
      <c r="CH46" s="3"/>
      <c r="CI46" s="3"/>
      <c r="CJ46" s="13">
        <f t="shared" si="6"/>
        <v>18</v>
      </c>
      <c r="CK46" s="3">
        <v>17</v>
      </c>
      <c r="CL46" s="3">
        <v>18</v>
      </c>
      <c r="CM46" s="3"/>
      <c r="CN46" s="3"/>
      <c r="CO46" s="14">
        <f t="shared" si="22"/>
        <v>18</v>
      </c>
      <c r="CP46" s="3">
        <v>18</v>
      </c>
      <c r="CQ46" s="3">
        <v>18</v>
      </c>
      <c r="CR46" s="3"/>
      <c r="CS46" s="3"/>
      <c r="CT46" s="15">
        <f t="shared" si="7"/>
        <v>18</v>
      </c>
      <c r="CU46" s="16">
        <f t="shared" si="25"/>
        <v>306</v>
      </c>
      <c r="CV46" s="16">
        <f t="shared" si="26"/>
        <v>316</v>
      </c>
      <c r="CW46" s="16"/>
      <c r="CX46" s="15"/>
      <c r="CY46" s="16">
        <f t="shared" si="21"/>
        <v>586</v>
      </c>
      <c r="CZ46" s="17"/>
    </row>
    <row r="47" spans="1:105" s="18" customFormat="1" ht="15.75" customHeight="1">
      <c r="A47" s="19">
        <f t="shared" si="11"/>
        <v>46</v>
      </c>
      <c r="B47" s="2" t="s">
        <v>47</v>
      </c>
      <c r="C47" s="28" t="s">
        <v>161</v>
      </c>
      <c r="D47" s="2" t="s">
        <v>5</v>
      </c>
      <c r="E47" s="3">
        <v>17</v>
      </c>
      <c r="F47" s="3">
        <v>18</v>
      </c>
      <c r="G47" s="3"/>
      <c r="H47" s="3"/>
      <c r="I47" s="3">
        <v>18</v>
      </c>
      <c r="J47" s="3">
        <v>18</v>
      </c>
      <c r="K47" s="3">
        <v>18</v>
      </c>
      <c r="L47" s="3">
        <v>18</v>
      </c>
      <c r="M47" s="3">
        <v>18</v>
      </c>
      <c r="N47" s="3">
        <v>18</v>
      </c>
      <c r="O47" s="3">
        <v>18</v>
      </c>
      <c r="P47" s="3">
        <v>18</v>
      </c>
      <c r="Q47" s="3">
        <v>17</v>
      </c>
      <c r="R47" s="3">
        <v>17</v>
      </c>
      <c r="S47" s="3"/>
      <c r="T47" s="3"/>
      <c r="U47" s="3">
        <v>18</v>
      </c>
      <c r="V47" s="3">
        <v>18</v>
      </c>
      <c r="W47" s="3"/>
      <c r="X47" s="3"/>
      <c r="Y47" s="5">
        <f t="shared" si="12"/>
        <v>18</v>
      </c>
      <c r="Z47" s="5">
        <f t="shared" si="13"/>
        <v>18</v>
      </c>
      <c r="AA47" s="3">
        <v>14</v>
      </c>
      <c r="AB47" s="3">
        <v>14</v>
      </c>
      <c r="AC47" s="3">
        <v>17</v>
      </c>
      <c r="AD47" s="3"/>
      <c r="AE47" s="3">
        <v>17</v>
      </c>
      <c r="AF47" s="3">
        <v>16</v>
      </c>
      <c r="AG47" s="3">
        <v>14</v>
      </c>
      <c r="AH47" s="3"/>
      <c r="AI47" s="3">
        <v>18</v>
      </c>
      <c r="AJ47" s="3">
        <v>18</v>
      </c>
      <c r="AK47" s="3"/>
      <c r="AL47" s="3"/>
      <c r="AM47" s="3">
        <v>16</v>
      </c>
      <c r="AN47" s="3">
        <v>15</v>
      </c>
      <c r="AO47" s="3">
        <v>14</v>
      </c>
      <c r="AP47" s="3"/>
      <c r="AQ47" s="6">
        <f t="shared" si="14"/>
        <v>16</v>
      </c>
      <c r="AR47" s="6">
        <f t="shared" si="27"/>
        <v>16</v>
      </c>
      <c r="AS47" s="3">
        <v>15</v>
      </c>
      <c r="AT47" s="3">
        <v>15</v>
      </c>
      <c r="AU47" s="3"/>
      <c r="AV47" s="3"/>
      <c r="AW47" s="3">
        <v>16</v>
      </c>
      <c r="AX47" s="3">
        <v>18</v>
      </c>
      <c r="AY47" s="3"/>
      <c r="AZ47" s="3"/>
      <c r="BA47" s="3">
        <v>18</v>
      </c>
      <c r="BB47" s="3">
        <v>18</v>
      </c>
      <c r="BC47" s="3">
        <v>18</v>
      </c>
      <c r="BD47" s="3">
        <v>18</v>
      </c>
      <c r="BE47" s="7">
        <f t="shared" si="16"/>
        <v>16</v>
      </c>
      <c r="BF47" s="7">
        <f t="shared" si="28"/>
        <v>17</v>
      </c>
      <c r="BG47" s="3">
        <v>17</v>
      </c>
      <c r="BH47" s="3">
        <v>18</v>
      </c>
      <c r="BI47" s="3">
        <v>18</v>
      </c>
      <c r="BJ47" s="3"/>
      <c r="BK47" s="3">
        <v>17</v>
      </c>
      <c r="BL47" s="3">
        <v>18</v>
      </c>
      <c r="BM47" s="3">
        <v>16</v>
      </c>
      <c r="BN47" s="3"/>
      <c r="BO47" s="8">
        <f t="shared" si="18"/>
        <v>17</v>
      </c>
      <c r="BP47" s="8">
        <f t="shared" si="19"/>
        <v>18</v>
      </c>
      <c r="BQ47" s="3">
        <v>18</v>
      </c>
      <c r="BR47" s="3">
        <v>18</v>
      </c>
      <c r="BS47" s="3"/>
      <c r="BT47" s="3"/>
      <c r="BU47" s="10">
        <f t="shared" si="20"/>
        <v>18</v>
      </c>
      <c r="BV47" s="3">
        <v>18</v>
      </c>
      <c r="BW47" s="3">
        <v>18</v>
      </c>
      <c r="BX47" s="3"/>
      <c r="BY47" s="3"/>
      <c r="BZ47" s="11">
        <f t="shared" si="3"/>
        <v>18</v>
      </c>
      <c r="CA47" s="3">
        <v>17</v>
      </c>
      <c r="CB47" s="3">
        <v>18</v>
      </c>
      <c r="CC47" s="3"/>
      <c r="CD47" s="3"/>
      <c r="CE47" s="12">
        <f t="shared" si="5"/>
        <v>18</v>
      </c>
      <c r="CF47" s="3">
        <v>18</v>
      </c>
      <c r="CG47" s="3">
        <v>16</v>
      </c>
      <c r="CH47" s="3"/>
      <c r="CI47" s="3"/>
      <c r="CJ47" s="13">
        <f t="shared" si="6"/>
        <v>17</v>
      </c>
      <c r="CK47" s="3">
        <v>17</v>
      </c>
      <c r="CL47" s="3">
        <v>18</v>
      </c>
      <c r="CM47" s="3"/>
      <c r="CN47" s="3"/>
      <c r="CO47" s="14">
        <f t="shared" si="22"/>
        <v>18</v>
      </c>
      <c r="CP47" s="3">
        <v>15</v>
      </c>
      <c r="CQ47" s="3">
        <v>15</v>
      </c>
      <c r="CR47" s="3"/>
      <c r="CS47" s="3"/>
      <c r="CT47" s="15">
        <f t="shared" si="7"/>
        <v>15</v>
      </c>
      <c r="CU47" s="16">
        <f t="shared" si="25"/>
        <v>324</v>
      </c>
      <c r="CV47" s="16">
        <f t="shared" si="26"/>
        <v>327</v>
      </c>
      <c r="CW47" s="16"/>
      <c r="CX47" s="15"/>
      <c r="CY47" s="16">
        <f t="shared" si="21"/>
        <v>561</v>
      </c>
      <c r="CZ47" s="17"/>
    </row>
    <row r="48" spans="1:105" s="18" customFormat="1" ht="15.75" customHeight="1">
      <c r="A48" s="19">
        <f t="shared" si="11"/>
        <v>47</v>
      </c>
      <c r="B48" s="2" t="s">
        <v>48</v>
      </c>
      <c r="C48" s="28" t="s">
        <v>161</v>
      </c>
      <c r="D48" s="2" t="s">
        <v>1</v>
      </c>
      <c r="E48" s="3">
        <v>15</v>
      </c>
      <c r="F48" s="3">
        <v>16</v>
      </c>
      <c r="G48" s="3"/>
      <c r="H48" s="3"/>
      <c r="I48" s="3">
        <v>18</v>
      </c>
      <c r="J48" s="3">
        <v>18</v>
      </c>
      <c r="K48" s="3">
        <v>18</v>
      </c>
      <c r="L48" s="3">
        <v>18</v>
      </c>
      <c r="M48" s="3">
        <v>18</v>
      </c>
      <c r="N48" s="3">
        <v>18</v>
      </c>
      <c r="O48" s="3">
        <v>18</v>
      </c>
      <c r="P48" s="3">
        <v>18</v>
      </c>
      <c r="Q48" s="3">
        <v>16</v>
      </c>
      <c r="R48" s="3">
        <v>16</v>
      </c>
      <c r="S48" s="3"/>
      <c r="T48" s="3"/>
      <c r="U48" s="3">
        <v>15</v>
      </c>
      <c r="V48" s="3">
        <v>16</v>
      </c>
      <c r="W48" s="3"/>
      <c r="X48" s="3"/>
      <c r="Y48" s="5">
        <f t="shared" si="12"/>
        <v>16</v>
      </c>
      <c r="Z48" s="5">
        <f t="shared" si="13"/>
        <v>17</v>
      </c>
      <c r="AA48" s="3">
        <v>13</v>
      </c>
      <c r="AB48" s="3">
        <v>13</v>
      </c>
      <c r="AC48" s="3">
        <v>16</v>
      </c>
      <c r="AD48" s="3"/>
      <c r="AE48" s="3">
        <v>14</v>
      </c>
      <c r="AF48" s="3">
        <v>14</v>
      </c>
      <c r="AG48" s="3">
        <v>15</v>
      </c>
      <c r="AH48" s="3"/>
      <c r="AI48" s="3">
        <v>14</v>
      </c>
      <c r="AJ48" s="3">
        <v>14</v>
      </c>
      <c r="AK48" s="3"/>
      <c r="AL48" s="3"/>
      <c r="AM48" s="3">
        <v>15</v>
      </c>
      <c r="AN48" s="3">
        <v>15</v>
      </c>
      <c r="AO48" s="3">
        <v>13</v>
      </c>
      <c r="AP48" s="3"/>
      <c r="AQ48" s="6">
        <f t="shared" si="14"/>
        <v>14</v>
      </c>
      <c r="AR48" s="6">
        <f t="shared" si="27"/>
        <v>14</v>
      </c>
      <c r="AS48" s="3">
        <v>14</v>
      </c>
      <c r="AT48" s="3">
        <v>14</v>
      </c>
      <c r="AU48" s="3"/>
      <c r="AV48" s="3"/>
      <c r="AW48" s="3">
        <v>14</v>
      </c>
      <c r="AX48" s="3">
        <v>15</v>
      </c>
      <c r="AY48" s="3"/>
      <c r="AZ48" s="3"/>
      <c r="BA48" s="3">
        <v>18</v>
      </c>
      <c r="BB48" s="3">
        <v>18</v>
      </c>
      <c r="BC48" s="3">
        <v>18</v>
      </c>
      <c r="BD48" s="3">
        <v>18</v>
      </c>
      <c r="BE48" s="7">
        <f t="shared" si="16"/>
        <v>15</v>
      </c>
      <c r="BF48" s="7">
        <f t="shared" si="28"/>
        <v>16</v>
      </c>
      <c r="BG48" s="3">
        <v>16</v>
      </c>
      <c r="BH48" s="3">
        <v>15</v>
      </c>
      <c r="BI48" s="3">
        <v>14</v>
      </c>
      <c r="BJ48" s="3"/>
      <c r="BK48" s="3">
        <v>16</v>
      </c>
      <c r="BL48" s="3">
        <v>15</v>
      </c>
      <c r="BM48" s="3">
        <v>14</v>
      </c>
      <c r="BN48" s="3"/>
      <c r="BO48" s="8">
        <f t="shared" si="18"/>
        <v>16</v>
      </c>
      <c r="BP48" s="8">
        <f t="shared" si="19"/>
        <v>15</v>
      </c>
      <c r="BQ48" s="3">
        <v>15</v>
      </c>
      <c r="BR48" s="3">
        <v>15</v>
      </c>
      <c r="BS48" s="3"/>
      <c r="BT48" s="3"/>
      <c r="BU48" s="10">
        <f t="shared" si="20"/>
        <v>15</v>
      </c>
      <c r="BV48" s="3">
        <v>15</v>
      </c>
      <c r="BW48" s="3">
        <v>15</v>
      </c>
      <c r="BX48" s="3"/>
      <c r="BY48" s="3"/>
      <c r="BZ48" s="11">
        <f t="shared" si="3"/>
        <v>15</v>
      </c>
      <c r="CA48" s="3">
        <v>17</v>
      </c>
      <c r="CB48" s="3">
        <v>14</v>
      </c>
      <c r="CC48" s="3"/>
      <c r="CD48" s="3"/>
      <c r="CE48" s="12">
        <f t="shared" si="5"/>
        <v>16</v>
      </c>
      <c r="CF48" s="3">
        <v>15</v>
      </c>
      <c r="CG48" s="3">
        <v>16</v>
      </c>
      <c r="CH48" s="3"/>
      <c r="CI48" s="3"/>
      <c r="CJ48" s="13">
        <f t="shared" si="6"/>
        <v>16</v>
      </c>
      <c r="CK48" s="3">
        <v>16</v>
      </c>
      <c r="CL48" s="3">
        <v>15</v>
      </c>
      <c r="CM48" s="3"/>
      <c r="CN48" s="3"/>
      <c r="CO48" s="14">
        <f t="shared" si="22"/>
        <v>16</v>
      </c>
      <c r="CP48" s="3">
        <v>15</v>
      </c>
      <c r="CQ48" s="3">
        <v>15</v>
      </c>
      <c r="CR48" s="3"/>
      <c r="CS48" s="3"/>
      <c r="CT48" s="15">
        <f t="shared" si="7"/>
        <v>15</v>
      </c>
      <c r="CU48" s="16">
        <f t="shared" si="25"/>
        <v>294</v>
      </c>
      <c r="CV48" s="16">
        <f t="shared" si="26"/>
        <v>292</v>
      </c>
      <c r="CW48" s="16"/>
      <c r="CX48" s="15"/>
      <c r="CY48" s="16">
        <f t="shared" si="21"/>
        <v>638</v>
      </c>
      <c r="CZ48" s="17"/>
    </row>
    <row r="49" spans="1:152" s="18" customFormat="1" ht="15.75" customHeight="1">
      <c r="A49" s="19">
        <f t="shared" si="11"/>
        <v>48</v>
      </c>
      <c r="B49" s="2" t="s">
        <v>49</v>
      </c>
      <c r="C49" s="28" t="s">
        <v>161</v>
      </c>
      <c r="D49" s="2" t="s">
        <v>1</v>
      </c>
      <c r="E49" s="3">
        <v>15</v>
      </c>
      <c r="F49" s="3">
        <v>16</v>
      </c>
      <c r="G49" s="3"/>
      <c r="H49" s="3"/>
      <c r="I49" s="3">
        <v>16</v>
      </c>
      <c r="J49" s="3">
        <v>16</v>
      </c>
      <c r="K49" s="3">
        <v>16</v>
      </c>
      <c r="L49" s="3">
        <v>16</v>
      </c>
      <c r="M49" s="3">
        <v>16</v>
      </c>
      <c r="N49" s="3">
        <v>16</v>
      </c>
      <c r="O49" s="3">
        <v>16</v>
      </c>
      <c r="P49" s="3">
        <v>16</v>
      </c>
      <c r="Q49" s="3">
        <v>16</v>
      </c>
      <c r="R49" s="3">
        <v>15</v>
      </c>
      <c r="S49" s="3"/>
      <c r="T49" s="3"/>
      <c r="U49" s="3">
        <v>14</v>
      </c>
      <c r="V49" s="3">
        <v>16</v>
      </c>
      <c r="W49" s="3"/>
      <c r="X49" s="3"/>
      <c r="Y49" s="5">
        <f t="shared" si="12"/>
        <v>15</v>
      </c>
      <c r="Z49" s="5">
        <f t="shared" si="13"/>
        <v>16</v>
      </c>
      <c r="AA49" s="3">
        <v>12</v>
      </c>
      <c r="AB49" s="3">
        <v>12</v>
      </c>
      <c r="AC49" s="3">
        <v>16</v>
      </c>
      <c r="AD49" s="3"/>
      <c r="AE49" s="3">
        <v>13</v>
      </c>
      <c r="AF49" s="3">
        <v>13</v>
      </c>
      <c r="AG49" s="3">
        <v>15</v>
      </c>
      <c r="AH49" s="3"/>
      <c r="AI49" s="3">
        <v>13</v>
      </c>
      <c r="AJ49" s="3">
        <v>13</v>
      </c>
      <c r="AK49" s="3"/>
      <c r="AL49" s="3"/>
      <c r="AM49" s="3">
        <v>14</v>
      </c>
      <c r="AN49" s="3">
        <v>14</v>
      </c>
      <c r="AO49" s="3">
        <v>14</v>
      </c>
      <c r="AP49" s="3"/>
      <c r="AQ49" s="6">
        <f t="shared" si="14"/>
        <v>13</v>
      </c>
      <c r="AR49" s="6">
        <f t="shared" si="27"/>
        <v>13</v>
      </c>
      <c r="AS49" s="3">
        <v>13</v>
      </c>
      <c r="AT49" s="3">
        <v>13</v>
      </c>
      <c r="AU49" s="3"/>
      <c r="AV49" s="3"/>
      <c r="AW49" s="3">
        <v>15</v>
      </c>
      <c r="AX49" s="3">
        <v>15</v>
      </c>
      <c r="AY49" s="3"/>
      <c r="AZ49" s="3"/>
      <c r="BA49" s="3">
        <v>16</v>
      </c>
      <c r="BB49" s="3">
        <v>16</v>
      </c>
      <c r="BC49" s="3">
        <v>16</v>
      </c>
      <c r="BD49" s="3">
        <v>16</v>
      </c>
      <c r="BE49" s="7">
        <f t="shared" si="16"/>
        <v>15</v>
      </c>
      <c r="BF49" s="7">
        <f t="shared" si="28"/>
        <v>15</v>
      </c>
      <c r="BG49" s="3">
        <v>15</v>
      </c>
      <c r="BH49" s="3">
        <v>15</v>
      </c>
      <c r="BI49" s="3">
        <v>12</v>
      </c>
      <c r="BJ49" s="3"/>
      <c r="BK49" s="3">
        <v>15</v>
      </c>
      <c r="BL49" s="3">
        <v>15</v>
      </c>
      <c r="BM49" s="3">
        <v>14</v>
      </c>
      <c r="BN49" s="3"/>
      <c r="BO49" s="8">
        <f t="shared" si="18"/>
        <v>15</v>
      </c>
      <c r="BP49" s="8">
        <f t="shared" si="19"/>
        <v>15</v>
      </c>
      <c r="BQ49" s="3">
        <v>15</v>
      </c>
      <c r="BR49" s="3">
        <v>15</v>
      </c>
      <c r="BS49" s="3"/>
      <c r="BT49" s="3"/>
      <c r="BU49" s="10">
        <f t="shared" si="20"/>
        <v>15</v>
      </c>
      <c r="BV49" s="3">
        <v>15</v>
      </c>
      <c r="BW49" s="3">
        <v>15</v>
      </c>
      <c r="BX49" s="3"/>
      <c r="BY49" s="3"/>
      <c r="BZ49" s="11">
        <f t="shared" si="3"/>
        <v>15</v>
      </c>
      <c r="CA49" s="3">
        <v>15</v>
      </c>
      <c r="CB49" s="3">
        <v>18</v>
      </c>
      <c r="CC49" s="3"/>
      <c r="CD49" s="3"/>
      <c r="CE49" s="12">
        <f t="shared" si="5"/>
        <v>17</v>
      </c>
      <c r="CF49" s="3">
        <v>15</v>
      </c>
      <c r="CG49" s="3">
        <v>15</v>
      </c>
      <c r="CH49" s="3"/>
      <c r="CI49" s="3"/>
      <c r="CJ49" s="13">
        <f t="shared" si="6"/>
        <v>15</v>
      </c>
      <c r="CK49" s="3">
        <v>15</v>
      </c>
      <c r="CL49" s="3">
        <v>15</v>
      </c>
      <c r="CM49" s="3"/>
      <c r="CN49" s="3"/>
      <c r="CO49" s="14">
        <f t="shared" si="22"/>
        <v>15</v>
      </c>
      <c r="CP49" s="3">
        <v>15</v>
      </c>
      <c r="CQ49" s="3">
        <v>15</v>
      </c>
      <c r="CR49" s="3"/>
      <c r="CS49" s="3"/>
      <c r="CT49" s="15">
        <f t="shared" si="7"/>
        <v>15</v>
      </c>
      <c r="CU49" s="16">
        <f t="shared" si="25"/>
        <v>278</v>
      </c>
      <c r="CV49" s="16">
        <f t="shared" si="26"/>
        <v>283</v>
      </c>
      <c r="CW49" s="16"/>
      <c r="CX49" s="15"/>
      <c r="CY49" s="16">
        <f t="shared" si="21"/>
        <v>567</v>
      </c>
      <c r="CZ49" s="17"/>
    </row>
    <row r="50" spans="1:152" s="18" customFormat="1" ht="15.75" customHeight="1">
      <c r="A50" s="19">
        <f t="shared" si="11"/>
        <v>49</v>
      </c>
      <c r="B50" s="2" t="s">
        <v>50</v>
      </c>
      <c r="C50" s="28" t="s">
        <v>161</v>
      </c>
      <c r="D50" s="2" t="s">
        <v>5</v>
      </c>
      <c r="E50" s="3">
        <v>17</v>
      </c>
      <c r="F50" s="3">
        <v>17</v>
      </c>
      <c r="G50" s="3"/>
      <c r="H50" s="3"/>
      <c r="I50" s="3">
        <v>18</v>
      </c>
      <c r="J50" s="3">
        <v>18</v>
      </c>
      <c r="K50" s="3">
        <v>18</v>
      </c>
      <c r="L50" s="3">
        <v>18</v>
      </c>
      <c r="M50" s="3">
        <v>18</v>
      </c>
      <c r="N50" s="3">
        <v>18</v>
      </c>
      <c r="O50" s="3">
        <v>18</v>
      </c>
      <c r="P50" s="3">
        <v>18</v>
      </c>
      <c r="Q50" s="3">
        <v>16</v>
      </c>
      <c r="R50" s="3">
        <v>18</v>
      </c>
      <c r="S50" s="3"/>
      <c r="T50" s="3"/>
      <c r="U50" s="3">
        <v>17</v>
      </c>
      <c r="V50" s="3">
        <v>17</v>
      </c>
      <c r="W50" s="3"/>
      <c r="X50" s="3"/>
      <c r="Y50" s="5">
        <f t="shared" si="12"/>
        <v>17</v>
      </c>
      <c r="Z50" s="5">
        <f t="shared" si="13"/>
        <v>18</v>
      </c>
      <c r="AA50" s="3">
        <v>18</v>
      </c>
      <c r="AB50" s="3">
        <v>16</v>
      </c>
      <c r="AC50" s="3">
        <v>18</v>
      </c>
      <c r="AD50" s="3"/>
      <c r="AE50" s="3">
        <v>14</v>
      </c>
      <c r="AF50" s="3">
        <v>14</v>
      </c>
      <c r="AG50" s="3">
        <v>11</v>
      </c>
      <c r="AH50" s="3"/>
      <c r="AI50" s="3">
        <v>18</v>
      </c>
      <c r="AJ50" s="3">
        <v>19</v>
      </c>
      <c r="AK50" s="3"/>
      <c r="AL50" s="3"/>
      <c r="AM50" s="3">
        <v>18</v>
      </c>
      <c r="AN50" s="3">
        <v>16</v>
      </c>
      <c r="AO50" s="3">
        <v>16</v>
      </c>
      <c r="AP50" s="3"/>
      <c r="AQ50" s="6">
        <f t="shared" si="14"/>
        <v>17</v>
      </c>
      <c r="AR50" s="6">
        <f t="shared" si="27"/>
        <v>16</v>
      </c>
      <c r="AS50" s="3">
        <v>16</v>
      </c>
      <c r="AT50" s="3">
        <v>17</v>
      </c>
      <c r="AU50" s="3"/>
      <c r="AV50" s="3"/>
      <c r="AW50" s="3">
        <v>15</v>
      </c>
      <c r="AX50" s="3">
        <v>17</v>
      </c>
      <c r="AY50" s="3"/>
      <c r="AZ50" s="3"/>
      <c r="BA50" s="3">
        <v>18</v>
      </c>
      <c r="BB50" s="3">
        <v>18</v>
      </c>
      <c r="BC50" s="3">
        <v>18</v>
      </c>
      <c r="BD50" s="3">
        <v>18</v>
      </c>
      <c r="BE50" s="7">
        <f t="shared" si="16"/>
        <v>16</v>
      </c>
      <c r="BF50" s="7">
        <f t="shared" si="28"/>
        <v>17</v>
      </c>
      <c r="BG50" s="3">
        <v>16</v>
      </c>
      <c r="BH50" s="3">
        <v>17</v>
      </c>
      <c r="BI50" s="3">
        <v>14</v>
      </c>
      <c r="BJ50" s="3"/>
      <c r="BK50" s="3">
        <v>16</v>
      </c>
      <c r="BL50" s="3">
        <v>17</v>
      </c>
      <c r="BM50" s="3">
        <v>16</v>
      </c>
      <c r="BN50" s="3"/>
      <c r="BO50" s="8">
        <f t="shared" si="18"/>
        <v>16</v>
      </c>
      <c r="BP50" s="8">
        <f t="shared" si="19"/>
        <v>17</v>
      </c>
      <c r="BQ50" s="3">
        <v>17</v>
      </c>
      <c r="BR50" s="3">
        <v>17</v>
      </c>
      <c r="BS50" s="3"/>
      <c r="BT50" s="3"/>
      <c r="BU50" s="10">
        <f t="shared" si="20"/>
        <v>17</v>
      </c>
      <c r="BV50" s="3">
        <v>17</v>
      </c>
      <c r="BW50" s="3">
        <v>17</v>
      </c>
      <c r="BX50" s="3"/>
      <c r="BY50" s="3"/>
      <c r="BZ50" s="11">
        <f t="shared" si="3"/>
        <v>17</v>
      </c>
      <c r="CA50" s="3">
        <v>14</v>
      </c>
      <c r="CB50" s="3">
        <v>15</v>
      </c>
      <c r="CC50" s="3"/>
      <c r="CD50" s="3"/>
      <c r="CE50" s="12">
        <f t="shared" si="5"/>
        <v>15</v>
      </c>
      <c r="CF50" s="3">
        <v>17</v>
      </c>
      <c r="CG50" s="3">
        <v>17</v>
      </c>
      <c r="CH50" s="3"/>
      <c r="CI50" s="3"/>
      <c r="CJ50" s="13">
        <f t="shared" si="6"/>
        <v>17</v>
      </c>
      <c r="CK50" s="3">
        <v>16</v>
      </c>
      <c r="CL50" s="3">
        <f t="shared" ref="CL50:CL51" si="29">(BH50+BL50)/2</f>
        <v>17</v>
      </c>
      <c r="CM50" s="3"/>
      <c r="CN50" s="3"/>
      <c r="CO50" s="14">
        <f t="shared" si="22"/>
        <v>17</v>
      </c>
      <c r="CP50" s="3">
        <v>17</v>
      </c>
      <c r="CQ50" s="3">
        <v>17</v>
      </c>
      <c r="CR50" s="3"/>
      <c r="CS50" s="3"/>
      <c r="CT50" s="15">
        <f t="shared" si="7"/>
        <v>17</v>
      </c>
      <c r="CU50" s="16">
        <f t="shared" si="25"/>
        <v>316</v>
      </c>
      <c r="CV50" s="16">
        <f t="shared" si="26"/>
        <v>322</v>
      </c>
      <c r="CW50" s="16"/>
      <c r="CX50" s="15"/>
      <c r="CY50" s="16">
        <f t="shared" si="21"/>
        <v>559</v>
      </c>
      <c r="CZ50" s="17"/>
    </row>
    <row r="51" spans="1:152" s="18" customFormat="1" ht="15.75" customHeight="1">
      <c r="A51" s="19">
        <f t="shared" si="11"/>
        <v>50</v>
      </c>
      <c r="B51" s="83" t="s">
        <v>51</v>
      </c>
      <c r="C51" s="28" t="s">
        <v>161</v>
      </c>
      <c r="D51" s="2" t="s">
        <v>1</v>
      </c>
      <c r="E51" s="3">
        <v>15</v>
      </c>
      <c r="F51" s="3">
        <v>16</v>
      </c>
      <c r="G51" s="3"/>
      <c r="H51" s="3"/>
      <c r="I51" s="3">
        <v>18</v>
      </c>
      <c r="J51" s="3">
        <v>18</v>
      </c>
      <c r="K51" s="3">
        <v>18</v>
      </c>
      <c r="L51" s="3">
        <v>18</v>
      </c>
      <c r="M51" s="3">
        <v>18</v>
      </c>
      <c r="N51" s="3">
        <v>18</v>
      </c>
      <c r="O51" s="3">
        <v>18</v>
      </c>
      <c r="P51" s="3">
        <v>18</v>
      </c>
      <c r="Q51" s="3">
        <v>15</v>
      </c>
      <c r="R51" s="3">
        <v>16</v>
      </c>
      <c r="S51" s="3"/>
      <c r="T51" s="3"/>
      <c r="U51" s="3">
        <v>15</v>
      </c>
      <c r="V51" s="3">
        <v>15</v>
      </c>
      <c r="W51" s="3"/>
      <c r="X51" s="3"/>
      <c r="Y51" s="5">
        <f t="shared" si="12"/>
        <v>16</v>
      </c>
      <c r="Z51" s="5">
        <f t="shared" si="13"/>
        <v>17</v>
      </c>
      <c r="AA51" s="3">
        <v>14</v>
      </c>
      <c r="AB51" s="3">
        <v>14</v>
      </c>
      <c r="AC51" s="3">
        <v>11</v>
      </c>
      <c r="AD51" s="3"/>
      <c r="AE51" s="3">
        <v>14</v>
      </c>
      <c r="AF51" s="3">
        <v>13</v>
      </c>
      <c r="AG51" s="3">
        <v>8</v>
      </c>
      <c r="AH51" s="3"/>
      <c r="AI51" s="3">
        <v>14</v>
      </c>
      <c r="AJ51" s="3">
        <v>14</v>
      </c>
      <c r="AK51" s="3"/>
      <c r="AL51" s="3"/>
      <c r="AM51" s="3">
        <v>14</v>
      </c>
      <c r="AN51" s="3">
        <v>14</v>
      </c>
      <c r="AO51" s="3">
        <v>14</v>
      </c>
      <c r="AP51" s="3"/>
      <c r="AQ51" s="6">
        <f t="shared" si="14"/>
        <v>14</v>
      </c>
      <c r="AR51" s="6">
        <f t="shared" si="27"/>
        <v>14</v>
      </c>
      <c r="AS51" s="3">
        <v>13</v>
      </c>
      <c r="AT51" s="3">
        <v>13</v>
      </c>
      <c r="AU51" s="3"/>
      <c r="AV51" s="3"/>
      <c r="AW51" s="3">
        <v>13</v>
      </c>
      <c r="AX51" s="3">
        <v>14</v>
      </c>
      <c r="AY51" s="3"/>
      <c r="AZ51" s="3"/>
      <c r="BA51" s="3">
        <v>18</v>
      </c>
      <c r="BB51" s="3">
        <v>18</v>
      </c>
      <c r="BC51" s="3">
        <v>12</v>
      </c>
      <c r="BD51" s="3">
        <v>12</v>
      </c>
      <c r="BE51" s="7">
        <f t="shared" si="16"/>
        <v>15</v>
      </c>
      <c r="BF51" s="7">
        <f t="shared" si="28"/>
        <v>15</v>
      </c>
      <c r="BG51" s="3">
        <v>15</v>
      </c>
      <c r="BH51" s="3">
        <v>14</v>
      </c>
      <c r="BI51" s="3">
        <v>12</v>
      </c>
      <c r="BJ51" s="3"/>
      <c r="BK51" s="3">
        <v>14</v>
      </c>
      <c r="BL51" s="3">
        <v>14</v>
      </c>
      <c r="BM51" s="3">
        <v>14</v>
      </c>
      <c r="BN51" s="3"/>
      <c r="BO51" s="8">
        <f t="shared" si="18"/>
        <v>15</v>
      </c>
      <c r="BP51" s="8">
        <f t="shared" si="19"/>
        <v>14</v>
      </c>
      <c r="BQ51" s="3">
        <v>14</v>
      </c>
      <c r="BR51" s="3">
        <v>14</v>
      </c>
      <c r="BS51" s="3"/>
      <c r="BT51" s="3"/>
      <c r="BU51" s="10">
        <f t="shared" si="20"/>
        <v>14</v>
      </c>
      <c r="BV51" s="3">
        <v>14</v>
      </c>
      <c r="BW51" s="3">
        <v>14</v>
      </c>
      <c r="BX51" s="3"/>
      <c r="BY51" s="3"/>
      <c r="BZ51" s="11">
        <f t="shared" si="3"/>
        <v>14</v>
      </c>
      <c r="CA51" s="3">
        <v>18</v>
      </c>
      <c r="CB51" s="3">
        <v>14</v>
      </c>
      <c r="CC51" s="3"/>
      <c r="CD51" s="3"/>
      <c r="CE51" s="12">
        <f t="shared" si="5"/>
        <v>16</v>
      </c>
      <c r="CF51" s="3">
        <v>14</v>
      </c>
      <c r="CG51" s="3">
        <v>15</v>
      </c>
      <c r="CH51" s="3"/>
      <c r="CI51" s="3"/>
      <c r="CJ51" s="13">
        <f t="shared" si="6"/>
        <v>15</v>
      </c>
      <c r="CK51" s="3">
        <v>15</v>
      </c>
      <c r="CL51" s="3">
        <f t="shared" si="29"/>
        <v>14</v>
      </c>
      <c r="CM51" s="3"/>
      <c r="CN51" s="3"/>
      <c r="CO51" s="14">
        <f t="shared" si="22"/>
        <v>15</v>
      </c>
      <c r="CP51" s="3">
        <v>14</v>
      </c>
      <c r="CQ51" s="3">
        <v>14</v>
      </c>
      <c r="CR51" s="3"/>
      <c r="CS51" s="3"/>
      <c r="CT51" s="15">
        <f t="shared" si="7"/>
        <v>14</v>
      </c>
      <c r="CU51" s="16">
        <f t="shared" si="25"/>
        <v>285</v>
      </c>
      <c r="CV51" s="16">
        <f t="shared" si="26"/>
        <v>282</v>
      </c>
      <c r="CW51" s="16"/>
      <c r="CX51" s="15"/>
      <c r="CY51" s="16">
        <f t="shared" si="21"/>
        <v>515</v>
      </c>
      <c r="CZ51" s="17"/>
    </row>
    <row r="52" spans="1:152" s="18" customFormat="1" ht="15.75" customHeight="1">
      <c r="A52" s="19">
        <f t="shared" si="11"/>
        <v>51</v>
      </c>
      <c r="B52" s="83" t="s">
        <v>52</v>
      </c>
      <c r="C52" s="28" t="s">
        <v>161</v>
      </c>
      <c r="D52" s="2" t="s">
        <v>1</v>
      </c>
      <c r="E52" s="3">
        <v>15</v>
      </c>
      <c r="F52" s="3">
        <v>16</v>
      </c>
      <c r="G52" s="3"/>
      <c r="H52" s="3"/>
      <c r="I52" s="3">
        <v>15</v>
      </c>
      <c r="J52" s="3">
        <v>16</v>
      </c>
      <c r="K52" s="3">
        <v>16</v>
      </c>
      <c r="L52" s="3">
        <v>16</v>
      </c>
      <c r="M52" s="3">
        <v>17</v>
      </c>
      <c r="N52" s="3">
        <v>16</v>
      </c>
      <c r="O52" s="3">
        <v>16</v>
      </c>
      <c r="P52" s="3">
        <v>16</v>
      </c>
      <c r="Q52" s="3">
        <v>14</v>
      </c>
      <c r="R52" s="3">
        <v>16</v>
      </c>
      <c r="S52" s="3"/>
      <c r="T52" s="3"/>
      <c r="U52" s="3">
        <v>14</v>
      </c>
      <c r="V52" s="3">
        <v>14</v>
      </c>
      <c r="W52" s="3"/>
      <c r="X52" s="3"/>
      <c r="Y52" s="5">
        <f t="shared" si="12"/>
        <v>15</v>
      </c>
      <c r="Z52" s="5">
        <f t="shared" si="13"/>
        <v>16</v>
      </c>
      <c r="AA52" s="3">
        <v>12</v>
      </c>
      <c r="AB52" s="3">
        <v>13</v>
      </c>
      <c r="AC52" s="3">
        <v>12</v>
      </c>
      <c r="AD52" s="3"/>
      <c r="AE52" s="3">
        <v>12</v>
      </c>
      <c r="AF52" s="3">
        <v>13</v>
      </c>
      <c r="AG52" s="3">
        <v>14</v>
      </c>
      <c r="AH52" s="3"/>
      <c r="AI52" s="3">
        <v>14</v>
      </c>
      <c r="AJ52" s="3">
        <v>14</v>
      </c>
      <c r="AK52" s="3"/>
      <c r="AL52" s="3"/>
      <c r="AM52" s="3">
        <v>12</v>
      </c>
      <c r="AN52" s="3">
        <v>13</v>
      </c>
      <c r="AO52" s="3">
        <v>13</v>
      </c>
      <c r="AP52" s="3"/>
      <c r="AQ52" s="6">
        <f t="shared" si="14"/>
        <v>13</v>
      </c>
      <c r="AR52" s="6">
        <f t="shared" si="27"/>
        <v>13</v>
      </c>
      <c r="AS52" s="3">
        <v>14</v>
      </c>
      <c r="AT52" s="3">
        <v>14</v>
      </c>
      <c r="AU52" s="3"/>
      <c r="AV52" s="3"/>
      <c r="AW52" s="3">
        <v>15</v>
      </c>
      <c r="AX52" s="3">
        <v>15</v>
      </c>
      <c r="AY52" s="3"/>
      <c r="AZ52" s="3"/>
      <c r="BA52" s="3">
        <v>15</v>
      </c>
      <c r="BB52" s="3">
        <v>17</v>
      </c>
      <c r="BC52" s="3">
        <v>15</v>
      </c>
      <c r="BD52" s="3">
        <v>15</v>
      </c>
      <c r="BE52" s="7">
        <f t="shared" si="16"/>
        <v>15</v>
      </c>
      <c r="BF52" s="7">
        <f t="shared" si="28"/>
        <v>15</v>
      </c>
      <c r="BG52" s="3">
        <v>15</v>
      </c>
      <c r="BH52" s="3">
        <v>15</v>
      </c>
      <c r="BI52" s="3">
        <v>18</v>
      </c>
      <c r="BJ52" s="3"/>
      <c r="BK52" s="3">
        <v>16</v>
      </c>
      <c r="BL52" s="3">
        <v>15</v>
      </c>
      <c r="BM52" s="3">
        <v>16</v>
      </c>
      <c r="BN52" s="3"/>
      <c r="BO52" s="8">
        <f t="shared" si="18"/>
        <v>16</v>
      </c>
      <c r="BP52" s="8">
        <f t="shared" si="19"/>
        <v>15</v>
      </c>
      <c r="BQ52" s="3">
        <v>15</v>
      </c>
      <c r="BR52" s="3">
        <v>15</v>
      </c>
      <c r="BS52" s="3"/>
      <c r="BT52" s="3"/>
      <c r="BU52" s="10">
        <f t="shared" si="20"/>
        <v>15</v>
      </c>
      <c r="BV52" s="3">
        <v>15</v>
      </c>
      <c r="BW52" s="3">
        <v>15</v>
      </c>
      <c r="BX52" s="3"/>
      <c r="BY52" s="3"/>
      <c r="BZ52" s="11">
        <f t="shared" si="3"/>
        <v>15</v>
      </c>
      <c r="CA52" s="3">
        <v>13</v>
      </c>
      <c r="CB52" s="3">
        <v>18</v>
      </c>
      <c r="CC52" s="3"/>
      <c r="CD52" s="3"/>
      <c r="CE52" s="12">
        <f t="shared" si="5"/>
        <v>16</v>
      </c>
      <c r="CF52" s="3">
        <v>15</v>
      </c>
      <c r="CG52" s="3">
        <v>15</v>
      </c>
      <c r="CH52" s="3"/>
      <c r="CI52" s="3"/>
      <c r="CJ52" s="13">
        <f t="shared" si="6"/>
        <v>15</v>
      </c>
      <c r="CK52" s="3">
        <v>16</v>
      </c>
      <c r="CL52" s="3">
        <v>15</v>
      </c>
      <c r="CM52" s="3"/>
      <c r="CN52" s="3"/>
      <c r="CO52" s="14">
        <f t="shared" si="22"/>
        <v>16</v>
      </c>
      <c r="CP52" s="3">
        <v>15</v>
      </c>
      <c r="CQ52" s="3">
        <v>15</v>
      </c>
      <c r="CR52" s="3"/>
      <c r="CS52" s="3"/>
      <c r="CT52" s="15">
        <f t="shared" si="7"/>
        <v>15</v>
      </c>
      <c r="CU52" s="16">
        <f t="shared" si="25"/>
        <v>274</v>
      </c>
      <c r="CV52" s="16">
        <f t="shared" si="26"/>
        <v>285</v>
      </c>
      <c r="CW52" s="16"/>
      <c r="CX52" s="15"/>
      <c r="CY52" s="16">
        <f t="shared" si="21"/>
        <v>406</v>
      </c>
      <c r="CZ52" s="17"/>
    </row>
    <row r="53" spans="1:152" s="18" customFormat="1" ht="15.75" customHeight="1">
      <c r="A53" s="19">
        <f t="shared" si="11"/>
        <v>52</v>
      </c>
      <c r="B53" s="83" t="s">
        <v>53</v>
      </c>
      <c r="C53" s="28" t="s">
        <v>161</v>
      </c>
      <c r="D53" s="2" t="s">
        <v>5</v>
      </c>
      <c r="E53" s="3">
        <v>13</v>
      </c>
      <c r="F53" s="3">
        <v>14</v>
      </c>
      <c r="G53" s="3"/>
      <c r="H53" s="3"/>
      <c r="I53" s="3">
        <v>16</v>
      </c>
      <c r="J53" s="3">
        <v>16</v>
      </c>
      <c r="K53" s="3">
        <v>8</v>
      </c>
      <c r="L53" s="3"/>
      <c r="M53" s="3">
        <v>15</v>
      </c>
      <c r="N53" s="3">
        <v>16</v>
      </c>
      <c r="O53" s="3">
        <v>8</v>
      </c>
      <c r="P53" s="3"/>
      <c r="Q53" s="3">
        <v>14</v>
      </c>
      <c r="R53" s="3">
        <v>15</v>
      </c>
      <c r="S53" s="3"/>
      <c r="T53" s="3"/>
      <c r="U53" s="3">
        <v>14</v>
      </c>
      <c r="V53" s="3">
        <v>14</v>
      </c>
      <c r="W53" s="3"/>
      <c r="X53" s="3"/>
      <c r="Y53" s="5">
        <f t="shared" si="12"/>
        <v>14</v>
      </c>
      <c r="Z53" s="5">
        <f t="shared" si="13"/>
        <v>15</v>
      </c>
      <c r="AA53" s="3">
        <v>12</v>
      </c>
      <c r="AB53" s="3">
        <v>12</v>
      </c>
      <c r="AC53" s="3">
        <v>8</v>
      </c>
      <c r="AD53" s="3"/>
      <c r="AE53" s="3">
        <v>12</v>
      </c>
      <c r="AF53" s="3">
        <v>12</v>
      </c>
      <c r="AG53" s="3">
        <v>8</v>
      </c>
      <c r="AH53" s="3"/>
      <c r="AI53" s="3">
        <v>13</v>
      </c>
      <c r="AJ53" s="3">
        <v>13</v>
      </c>
      <c r="AK53" s="3"/>
      <c r="AL53" s="3"/>
      <c r="AM53" s="3">
        <v>13</v>
      </c>
      <c r="AN53" s="3">
        <v>14</v>
      </c>
      <c r="AO53" s="3">
        <v>13</v>
      </c>
      <c r="AP53" s="3"/>
      <c r="AQ53" s="6">
        <f t="shared" si="14"/>
        <v>13</v>
      </c>
      <c r="AR53" s="6">
        <f t="shared" si="27"/>
        <v>13</v>
      </c>
      <c r="AS53" s="3">
        <v>13</v>
      </c>
      <c r="AT53" s="3">
        <v>13</v>
      </c>
      <c r="AU53" s="3"/>
      <c r="AV53" s="3"/>
      <c r="AW53" s="3">
        <v>12</v>
      </c>
      <c r="AX53" s="3">
        <v>12</v>
      </c>
      <c r="AY53" s="3"/>
      <c r="AZ53" s="3"/>
      <c r="BA53" s="3">
        <v>16</v>
      </c>
      <c r="BB53" s="3">
        <v>15</v>
      </c>
      <c r="BC53" s="3">
        <v>8</v>
      </c>
      <c r="BD53" s="3"/>
      <c r="BE53" s="7">
        <f t="shared" si="16"/>
        <v>14</v>
      </c>
      <c r="BF53" s="7">
        <f t="shared" si="28"/>
        <v>13</v>
      </c>
      <c r="BG53" s="3">
        <v>13</v>
      </c>
      <c r="BH53" s="3">
        <v>12</v>
      </c>
      <c r="BI53" s="3"/>
      <c r="BJ53" s="3"/>
      <c r="BK53" s="3">
        <v>13</v>
      </c>
      <c r="BL53" s="3">
        <v>12</v>
      </c>
      <c r="BM53" s="3"/>
      <c r="BN53" s="3"/>
      <c r="BO53" s="8">
        <f t="shared" si="18"/>
        <v>13</v>
      </c>
      <c r="BP53" s="8">
        <f t="shared" si="19"/>
        <v>12</v>
      </c>
      <c r="BQ53" s="3">
        <v>12</v>
      </c>
      <c r="BR53" s="3">
        <v>12</v>
      </c>
      <c r="BS53" s="3"/>
      <c r="BT53" s="3"/>
      <c r="BU53" s="10">
        <f t="shared" si="20"/>
        <v>12</v>
      </c>
      <c r="BV53" s="3">
        <v>12</v>
      </c>
      <c r="BW53" s="3">
        <v>12</v>
      </c>
      <c r="BX53" s="3"/>
      <c r="BY53" s="3"/>
      <c r="BZ53" s="11">
        <f t="shared" si="3"/>
        <v>12</v>
      </c>
      <c r="CA53" s="3">
        <v>18</v>
      </c>
      <c r="CB53" s="3">
        <v>15</v>
      </c>
      <c r="CC53" s="3"/>
      <c r="CD53" s="3"/>
      <c r="CE53" s="12">
        <f t="shared" si="5"/>
        <v>17</v>
      </c>
      <c r="CF53" s="3">
        <v>14</v>
      </c>
      <c r="CG53" s="3">
        <v>16</v>
      </c>
      <c r="CH53" s="3"/>
      <c r="CI53" s="3"/>
      <c r="CJ53" s="13">
        <f t="shared" si="6"/>
        <v>15</v>
      </c>
      <c r="CK53" s="3">
        <v>13</v>
      </c>
      <c r="CL53" s="3">
        <v>12</v>
      </c>
      <c r="CM53" s="3"/>
      <c r="CN53" s="3"/>
      <c r="CO53" s="14">
        <f t="shared" si="22"/>
        <v>13</v>
      </c>
      <c r="CP53" s="3">
        <v>14</v>
      </c>
      <c r="CQ53" s="3">
        <v>14</v>
      </c>
      <c r="CR53" s="3"/>
      <c r="CS53" s="3"/>
      <c r="CT53" s="15">
        <f t="shared" si="7"/>
        <v>14</v>
      </c>
      <c r="CU53" s="16">
        <f t="shared" si="25"/>
        <v>258</v>
      </c>
      <c r="CV53" s="16">
        <f t="shared" si="26"/>
        <v>257</v>
      </c>
      <c r="CW53" s="16"/>
      <c r="CX53" s="15"/>
      <c r="CY53" s="16">
        <f t="shared" si="21"/>
        <v>630</v>
      </c>
      <c r="CZ53" s="17"/>
    </row>
    <row r="54" spans="1:152" s="40" customFormat="1" ht="15.75" customHeight="1">
      <c r="A54" s="19">
        <f t="shared" si="11"/>
        <v>53</v>
      </c>
      <c r="B54" s="83" t="s">
        <v>54</v>
      </c>
      <c r="C54" s="28" t="s">
        <v>161</v>
      </c>
      <c r="D54" s="30" t="s">
        <v>5</v>
      </c>
      <c r="E54" s="31">
        <v>16</v>
      </c>
      <c r="F54" s="31">
        <v>15</v>
      </c>
      <c r="G54" s="31"/>
      <c r="H54" s="31"/>
      <c r="I54" s="31"/>
      <c r="J54" s="31"/>
      <c r="K54" s="31">
        <v>12</v>
      </c>
      <c r="L54" s="31"/>
      <c r="M54" s="31"/>
      <c r="N54" s="31"/>
      <c r="O54" s="31">
        <v>12</v>
      </c>
      <c r="P54" s="31"/>
      <c r="Q54" s="31">
        <v>15</v>
      </c>
      <c r="R54" s="31">
        <v>15</v>
      </c>
      <c r="S54" s="31"/>
      <c r="T54" s="31"/>
      <c r="U54" s="31">
        <v>15</v>
      </c>
      <c r="V54" s="31">
        <v>13</v>
      </c>
      <c r="W54" s="31"/>
      <c r="X54" s="31"/>
      <c r="Y54" s="5">
        <f t="shared" si="12"/>
        <v>15</v>
      </c>
      <c r="Z54" s="5">
        <f t="shared" si="13"/>
        <v>14</v>
      </c>
      <c r="AA54" s="31"/>
      <c r="AB54" s="31"/>
      <c r="AC54" s="31">
        <v>12</v>
      </c>
      <c r="AD54" s="31"/>
      <c r="AE54" s="31"/>
      <c r="AF54" s="31"/>
      <c r="AG54" s="31">
        <v>15</v>
      </c>
      <c r="AH54" s="31"/>
      <c r="AI54" s="31">
        <v>13</v>
      </c>
      <c r="AJ54" s="31">
        <v>13</v>
      </c>
      <c r="AK54" s="31"/>
      <c r="AL54" s="31"/>
      <c r="AM54" s="31"/>
      <c r="AN54" s="31"/>
      <c r="AO54" s="31">
        <v>13</v>
      </c>
      <c r="AP54" s="31"/>
      <c r="AQ54" s="6">
        <f t="shared" si="14"/>
        <v>13</v>
      </c>
      <c r="AR54" s="6">
        <f t="shared" si="27"/>
        <v>13</v>
      </c>
      <c r="AS54" s="31">
        <v>13</v>
      </c>
      <c r="AT54" s="31">
        <v>13</v>
      </c>
      <c r="AU54" s="31"/>
      <c r="AV54" s="31"/>
      <c r="AW54" s="31">
        <v>16</v>
      </c>
      <c r="AX54" s="31">
        <v>17</v>
      </c>
      <c r="AY54" s="31"/>
      <c r="AZ54" s="31"/>
      <c r="BA54" s="31"/>
      <c r="BB54" s="31"/>
      <c r="BC54" s="31"/>
      <c r="BD54" s="31"/>
      <c r="BE54" s="7">
        <f t="shared" si="16"/>
        <v>15</v>
      </c>
      <c r="BF54" s="7">
        <f t="shared" si="28"/>
        <v>15</v>
      </c>
      <c r="BG54" s="31">
        <v>16</v>
      </c>
      <c r="BH54" s="31">
        <v>17</v>
      </c>
      <c r="BI54" s="31">
        <v>14</v>
      </c>
      <c r="BJ54" s="31"/>
      <c r="BK54" s="31">
        <v>16</v>
      </c>
      <c r="BL54" s="31">
        <v>17</v>
      </c>
      <c r="BM54" s="31">
        <v>14</v>
      </c>
      <c r="BN54" s="31"/>
      <c r="BO54" s="8">
        <f t="shared" si="18"/>
        <v>16</v>
      </c>
      <c r="BP54" s="8">
        <f t="shared" si="19"/>
        <v>17</v>
      </c>
      <c r="BQ54" s="31">
        <v>17</v>
      </c>
      <c r="BR54" s="31">
        <v>17</v>
      </c>
      <c r="BS54" s="31"/>
      <c r="BT54" s="31"/>
      <c r="BU54" s="10">
        <f t="shared" si="20"/>
        <v>17</v>
      </c>
      <c r="BV54" s="31">
        <v>17</v>
      </c>
      <c r="BW54" s="31">
        <v>17</v>
      </c>
      <c r="BX54" s="31"/>
      <c r="BY54" s="31"/>
      <c r="BZ54" s="34">
        <f t="shared" si="3"/>
        <v>17</v>
      </c>
      <c r="CA54" s="31">
        <v>13</v>
      </c>
      <c r="CB54" s="31">
        <v>18</v>
      </c>
      <c r="CC54" s="31"/>
      <c r="CD54" s="31"/>
      <c r="CE54" s="35">
        <f t="shared" si="5"/>
        <v>16</v>
      </c>
      <c r="CF54" s="31">
        <v>17</v>
      </c>
      <c r="CG54" s="31">
        <v>17</v>
      </c>
      <c r="CH54" s="31"/>
      <c r="CI54" s="31"/>
      <c r="CJ54" s="36">
        <f t="shared" si="6"/>
        <v>17</v>
      </c>
      <c r="CK54" s="31">
        <v>16</v>
      </c>
      <c r="CL54" s="31">
        <v>17</v>
      </c>
      <c r="CM54" s="31"/>
      <c r="CN54" s="31"/>
      <c r="CO54" s="37">
        <f t="shared" si="22"/>
        <v>17</v>
      </c>
      <c r="CP54" s="31">
        <v>17</v>
      </c>
      <c r="CQ54" s="31">
        <v>17</v>
      </c>
      <c r="CR54" s="31"/>
      <c r="CS54" s="31"/>
      <c r="CT54" s="15">
        <f t="shared" si="7"/>
        <v>17</v>
      </c>
      <c r="CU54" s="16">
        <f t="shared" si="25"/>
        <v>200</v>
      </c>
      <c r="CV54" s="16">
        <f t="shared" si="26"/>
        <v>206</v>
      </c>
      <c r="CW54" s="16"/>
      <c r="CX54" s="15"/>
      <c r="CY54" s="16">
        <f t="shared" si="21"/>
        <v>206</v>
      </c>
      <c r="CZ54" s="38"/>
      <c r="DA54" s="39"/>
    </row>
    <row r="55" spans="1:152" s="18" customFormat="1" ht="15.75" customHeight="1">
      <c r="A55" s="19">
        <f t="shared" si="11"/>
        <v>54</v>
      </c>
      <c r="B55" s="2" t="s">
        <v>55</v>
      </c>
      <c r="C55" s="28" t="s">
        <v>161</v>
      </c>
      <c r="D55" s="2" t="s">
        <v>5</v>
      </c>
      <c r="E55" s="3">
        <v>15</v>
      </c>
      <c r="F55" s="3">
        <v>16</v>
      </c>
      <c r="G55" s="3"/>
      <c r="H55" s="3"/>
      <c r="I55" s="3">
        <v>18</v>
      </c>
      <c r="J55" s="3">
        <v>18</v>
      </c>
      <c r="K55" s="3">
        <v>16</v>
      </c>
      <c r="L55" s="3">
        <v>18</v>
      </c>
      <c r="M55" s="3">
        <v>18</v>
      </c>
      <c r="N55" s="3">
        <v>18</v>
      </c>
      <c r="O55" s="3">
        <v>18</v>
      </c>
      <c r="P55" s="3">
        <v>18</v>
      </c>
      <c r="Q55" s="3">
        <v>14</v>
      </c>
      <c r="R55" s="3">
        <v>15</v>
      </c>
      <c r="S55" s="3"/>
      <c r="T55" s="3"/>
      <c r="U55" s="3">
        <v>16</v>
      </c>
      <c r="V55" s="3">
        <v>16</v>
      </c>
      <c r="W55" s="3"/>
      <c r="X55" s="3"/>
      <c r="Y55" s="5">
        <f t="shared" si="12"/>
        <v>16</v>
      </c>
      <c r="Z55" s="5">
        <f t="shared" si="13"/>
        <v>17</v>
      </c>
      <c r="AA55" s="3">
        <v>13</v>
      </c>
      <c r="AB55" s="3">
        <v>13</v>
      </c>
      <c r="AC55" s="3">
        <v>17</v>
      </c>
      <c r="AD55" s="3"/>
      <c r="AE55" s="3">
        <v>17</v>
      </c>
      <c r="AF55" s="3">
        <v>15</v>
      </c>
      <c r="AG55" s="3">
        <v>18</v>
      </c>
      <c r="AH55" s="3"/>
      <c r="AI55" s="3">
        <v>15</v>
      </c>
      <c r="AJ55" s="3">
        <v>15</v>
      </c>
      <c r="AK55" s="3"/>
      <c r="AL55" s="3"/>
      <c r="AM55" s="3">
        <v>16</v>
      </c>
      <c r="AN55" s="3">
        <v>14</v>
      </c>
      <c r="AO55" s="3">
        <v>14</v>
      </c>
      <c r="AP55" s="3"/>
      <c r="AQ55" s="6">
        <f t="shared" si="14"/>
        <v>15</v>
      </c>
      <c r="AR55" s="6">
        <f t="shared" si="27"/>
        <v>14</v>
      </c>
      <c r="AS55" s="3">
        <v>16</v>
      </c>
      <c r="AT55" s="3">
        <v>17</v>
      </c>
      <c r="AU55" s="3"/>
      <c r="AV55" s="3"/>
      <c r="AW55" s="3">
        <v>16</v>
      </c>
      <c r="AX55" s="3">
        <v>18</v>
      </c>
      <c r="AY55" s="3"/>
      <c r="AZ55" s="3"/>
      <c r="BA55" s="3">
        <v>18</v>
      </c>
      <c r="BB55" s="3">
        <v>18</v>
      </c>
      <c r="BC55" s="3">
        <v>17</v>
      </c>
      <c r="BD55" s="3">
        <v>17</v>
      </c>
      <c r="BE55" s="7">
        <f t="shared" si="16"/>
        <v>17</v>
      </c>
      <c r="BF55" s="7">
        <f t="shared" si="28"/>
        <v>18</v>
      </c>
      <c r="BG55" s="3">
        <v>17</v>
      </c>
      <c r="BH55" s="3">
        <v>18</v>
      </c>
      <c r="BI55" s="3">
        <v>18</v>
      </c>
      <c r="BJ55" s="3"/>
      <c r="BK55" s="3">
        <v>17</v>
      </c>
      <c r="BL55" s="3">
        <v>18</v>
      </c>
      <c r="BM55" s="3">
        <v>16</v>
      </c>
      <c r="BN55" s="3"/>
      <c r="BO55" s="8">
        <f t="shared" si="18"/>
        <v>17</v>
      </c>
      <c r="BP55" s="8">
        <f t="shared" si="19"/>
        <v>18</v>
      </c>
      <c r="BQ55" s="3">
        <v>18</v>
      </c>
      <c r="BR55" s="3">
        <v>18</v>
      </c>
      <c r="BS55" s="3"/>
      <c r="BT55" s="3"/>
      <c r="BU55" s="10">
        <f t="shared" si="20"/>
        <v>18</v>
      </c>
      <c r="BV55" s="3">
        <v>18</v>
      </c>
      <c r="BW55" s="3">
        <v>18</v>
      </c>
      <c r="BX55" s="3"/>
      <c r="BY55" s="3"/>
      <c r="BZ55" s="11">
        <f t="shared" si="3"/>
        <v>18</v>
      </c>
      <c r="CA55" s="3">
        <v>18</v>
      </c>
      <c r="CB55" s="3">
        <v>15</v>
      </c>
      <c r="CC55" s="3"/>
      <c r="CD55" s="3"/>
      <c r="CE55" s="12">
        <f t="shared" si="5"/>
        <v>17</v>
      </c>
      <c r="CF55" s="3">
        <v>18</v>
      </c>
      <c r="CG55" s="3">
        <v>17</v>
      </c>
      <c r="CH55" s="3"/>
      <c r="CI55" s="3"/>
      <c r="CJ55" s="13">
        <f t="shared" si="6"/>
        <v>18</v>
      </c>
      <c r="CK55" s="3">
        <v>17</v>
      </c>
      <c r="CL55" s="3">
        <v>18</v>
      </c>
      <c r="CM55" s="3"/>
      <c r="CN55" s="3"/>
      <c r="CO55" s="14">
        <f t="shared" si="22"/>
        <v>18</v>
      </c>
      <c r="CP55" s="3">
        <v>18</v>
      </c>
      <c r="CQ55" s="3">
        <v>18</v>
      </c>
      <c r="CR55" s="3"/>
      <c r="CS55" s="3"/>
      <c r="CT55" s="15">
        <f t="shared" si="7"/>
        <v>18</v>
      </c>
      <c r="CU55" s="16">
        <f t="shared" si="25"/>
        <v>315</v>
      </c>
      <c r="CV55" s="16">
        <f t="shared" si="26"/>
        <v>315</v>
      </c>
      <c r="CW55" s="16"/>
      <c r="CX55" s="15"/>
      <c r="CY55" s="16">
        <f t="shared" si="21"/>
        <v>568</v>
      </c>
      <c r="CZ55" s="17"/>
    </row>
    <row r="56" spans="1:152" s="18" customFormat="1" ht="15.75" customHeight="1">
      <c r="A56" s="19">
        <f t="shared" si="11"/>
        <v>55</v>
      </c>
      <c r="B56" s="85" t="s">
        <v>56</v>
      </c>
      <c r="C56" s="28" t="s">
        <v>161</v>
      </c>
      <c r="D56" s="20" t="s">
        <v>1</v>
      </c>
      <c r="E56" s="21"/>
      <c r="F56" s="21"/>
      <c r="G56" s="21"/>
      <c r="H56" s="21"/>
      <c r="I56" s="21">
        <v>16</v>
      </c>
      <c r="J56" s="21">
        <v>16</v>
      </c>
      <c r="K56" s="21"/>
      <c r="L56" s="21"/>
      <c r="M56" s="21">
        <v>17</v>
      </c>
      <c r="N56" s="21">
        <v>16</v>
      </c>
      <c r="O56" s="21"/>
      <c r="P56" s="21">
        <v>16</v>
      </c>
      <c r="Q56" s="21"/>
      <c r="R56" s="21"/>
      <c r="S56" s="21"/>
      <c r="T56" s="21"/>
      <c r="U56" s="21"/>
      <c r="V56" s="21"/>
      <c r="W56" s="21"/>
      <c r="X56" s="21"/>
      <c r="Y56" s="5">
        <f t="shared" si="12"/>
        <v>17</v>
      </c>
      <c r="Z56" s="5">
        <f t="shared" si="13"/>
        <v>16</v>
      </c>
      <c r="AA56" s="21">
        <v>13</v>
      </c>
      <c r="AB56" s="21">
        <v>13</v>
      </c>
      <c r="AC56" s="21">
        <v>8</v>
      </c>
      <c r="AD56" s="21"/>
      <c r="AE56" s="21">
        <v>13</v>
      </c>
      <c r="AF56" s="21">
        <v>13</v>
      </c>
      <c r="AG56" s="21">
        <v>8</v>
      </c>
      <c r="AH56" s="21"/>
      <c r="AI56" s="21">
        <v>15</v>
      </c>
      <c r="AJ56" s="21">
        <v>15</v>
      </c>
      <c r="AK56" s="21"/>
      <c r="AL56" s="21"/>
      <c r="AM56" s="21">
        <v>13</v>
      </c>
      <c r="AN56" s="21">
        <v>13</v>
      </c>
      <c r="AO56" s="21">
        <v>8</v>
      </c>
      <c r="AP56" s="21"/>
      <c r="AQ56" s="6">
        <f t="shared" si="14"/>
        <v>14</v>
      </c>
      <c r="AR56" s="6">
        <f t="shared" si="27"/>
        <v>14</v>
      </c>
      <c r="AS56" s="21"/>
      <c r="AT56" s="21"/>
      <c r="AU56" s="21"/>
      <c r="AV56" s="21"/>
      <c r="AW56" s="21"/>
      <c r="AX56" s="21"/>
      <c r="AY56" s="21"/>
      <c r="AZ56" s="21"/>
      <c r="BA56" s="21">
        <v>16</v>
      </c>
      <c r="BB56" s="21">
        <v>17</v>
      </c>
      <c r="BC56" s="21">
        <v>8</v>
      </c>
      <c r="BD56" s="21"/>
      <c r="BE56" s="7">
        <f t="shared" si="16"/>
        <v>16</v>
      </c>
      <c r="BF56" s="7">
        <f t="shared" si="28"/>
        <v>17</v>
      </c>
      <c r="BG56" s="21"/>
      <c r="BH56" s="21"/>
      <c r="BI56" s="21"/>
      <c r="BJ56" s="21"/>
      <c r="BK56" s="21"/>
      <c r="BL56" s="21"/>
      <c r="BM56" s="21"/>
      <c r="BN56" s="21"/>
      <c r="BO56" s="8" t="e">
        <f t="shared" si="18"/>
        <v>#DIV/0!</v>
      </c>
      <c r="BP56" s="8" t="e">
        <f t="shared" si="19"/>
        <v>#DIV/0!</v>
      </c>
      <c r="BQ56" s="21"/>
      <c r="BR56" s="21"/>
      <c r="BS56" s="21"/>
      <c r="BT56" s="21"/>
      <c r="BU56" s="10" t="e">
        <f t="shared" si="20"/>
        <v>#DIV/0!</v>
      </c>
      <c r="BV56" s="21"/>
      <c r="BW56" s="21"/>
      <c r="BX56" s="21"/>
      <c r="BY56" s="21"/>
      <c r="BZ56" s="23" t="e">
        <f t="shared" si="3"/>
        <v>#DIV/0!</v>
      </c>
      <c r="CA56" s="21"/>
      <c r="CB56" s="21"/>
      <c r="CC56" s="21"/>
      <c r="CD56" s="21"/>
      <c r="CE56" s="23" t="e">
        <f t="shared" si="5"/>
        <v>#DIV/0!</v>
      </c>
      <c r="CF56" s="21"/>
      <c r="CG56" s="21"/>
      <c r="CH56" s="21"/>
      <c r="CI56" s="21"/>
      <c r="CJ56" s="23" t="e">
        <f t="shared" si="6"/>
        <v>#DIV/0!</v>
      </c>
      <c r="CK56" s="21"/>
      <c r="CL56" s="21"/>
      <c r="CM56" s="21"/>
      <c r="CN56" s="21"/>
      <c r="CO56" s="23" t="e">
        <f t="shared" si="22"/>
        <v>#DIV/0!</v>
      </c>
      <c r="CP56" s="21"/>
      <c r="CQ56" s="21"/>
      <c r="CR56" s="21"/>
      <c r="CS56" s="21"/>
      <c r="CT56" s="15" t="e">
        <f t="shared" si="7"/>
        <v>#DIV/0!</v>
      </c>
      <c r="CU56" s="16">
        <f t="shared" si="25"/>
        <v>103</v>
      </c>
      <c r="CV56" s="16">
        <f t="shared" si="26"/>
        <v>103</v>
      </c>
      <c r="CW56" s="16"/>
      <c r="CX56" s="15"/>
      <c r="CY56" s="16">
        <f t="shared" si="21"/>
        <v>518</v>
      </c>
      <c r="CZ56" s="17"/>
    </row>
    <row r="57" spans="1:152" s="18" customFormat="1" ht="15.75" customHeight="1">
      <c r="A57" s="19">
        <f t="shared" si="11"/>
        <v>56</v>
      </c>
      <c r="B57" s="2" t="s">
        <v>57</v>
      </c>
      <c r="C57" s="28" t="s">
        <v>161</v>
      </c>
      <c r="D57" s="2" t="s">
        <v>5</v>
      </c>
      <c r="E57" s="3">
        <v>15</v>
      </c>
      <c r="F57" s="3">
        <v>15</v>
      </c>
      <c r="G57" s="3"/>
      <c r="H57" s="3"/>
      <c r="I57" s="3">
        <v>16</v>
      </c>
      <c r="J57" s="3">
        <v>16</v>
      </c>
      <c r="K57" s="3">
        <v>17</v>
      </c>
      <c r="L57" s="3"/>
      <c r="M57" s="3">
        <v>15</v>
      </c>
      <c r="N57" s="3">
        <v>16</v>
      </c>
      <c r="O57" s="3">
        <v>16</v>
      </c>
      <c r="P57" s="3"/>
      <c r="Q57" s="3">
        <v>14</v>
      </c>
      <c r="R57" s="3">
        <v>15</v>
      </c>
      <c r="S57" s="3"/>
      <c r="T57" s="3"/>
      <c r="U57" s="3">
        <v>16</v>
      </c>
      <c r="V57" s="3">
        <v>16</v>
      </c>
      <c r="W57" s="3"/>
      <c r="X57" s="3"/>
      <c r="Y57" s="5">
        <f t="shared" si="12"/>
        <v>15</v>
      </c>
      <c r="Z57" s="5">
        <f t="shared" si="13"/>
        <v>16</v>
      </c>
      <c r="AA57" s="3">
        <v>12</v>
      </c>
      <c r="AB57" s="3">
        <v>12</v>
      </c>
      <c r="AC57" s="3">
        <v>11</v>
      </c>
      <c r="AD57" s="3"/>
      <c r="AE57" s="3">
        <v>16</v>
      </c>
      <c r="AF57" s="3">
        <v>15</v>
      </c>
      <c r="AG57" s="3">
        <v>11</v>
      </c>
      <c r="AH57" s="3"/>
      <c r="AI57" s="3">
        <v>15</v>
      </c>
      <c r="AJ57" s="3">
        <v>15</v>
      </c>
      <c r="AK57" s="3"/>
      <c r="AL57" s="3"/>
      <c r="AM57" s="3">
        <v>14</v>
      </c>
      <c r="AN57" s="3">
        <v>14</v>
      </c>
      <c r="AO57" s="3">
        <v>14</v>
      </c>
      <c r="AP57" s="3"/>
      <c r="AQ57" s="6">
        <f t="shared" si="14"/>
        <v>14</v>
      </c>
      <c r="AR57" s="6">
        <f t="shared" si="27"/>
        <v>14</v>
      </c>
      <c r="AS57" s="3">
        <v>13</v>
      </c>
      <c r="AT57" s="3">
        <v>13</v>
      </c>
      <c r="AU57" s="3"/>
      <c r="AV57" s="3"/>
      <c r="AW57" s="3">
        <v>14</v>
      </c>
      <c r="AX57" s="3">
        <v>15</v>
      </c>
      <c r="AY57" s="3"/>
      <c r="AZ57" s="3"/>
      <c r="BA57" s="3">
        <v>16</v>
      </c>
      <c r="BB57" s="3">
        <v>15</v>
      </c>
      <c r="BC57" s="3">
        <v>16</v>
      </c>
      <c r="BD57" s="3"/>
      <c r="BE57" s="7">
        <f t="shared" si="16"/>
        <v>14</v>
      </c>
      <c r="BF57" s="7">
        <f t="shared" si="28"/>
        <v>14</v>
      </c>
      <c r="BG57" s="3">
        <v>14</v>
      </c>
      <c r="BH57" s="3">
        <v>15</v>
      </c>
      <c r="BI57" s="3">
        <v>14</v>
      </c>
      <c r="BJ57" s="3"/>
      <c r="BK57" s="3">
        <v>16</v>
      </c>
      <c r="BL57" s="3">
        <v>15</v>
      </c>
      <c r="BM57" s="3">
        <v>16</v>
      </c>
      <c r="BN57" s="3"/>
      <c r="BO57" s="8">
        <f t="shared" si="18"/>
        <v>15</v>
      </c>
      <c r="BP57" s="8">
        <f t="shared" si="19"/>
        <v>15</v>
      </c>
      <c r="BQ57" s="3">
        <v>15</v>
      </c>
      <c r="BR57" s="3">
        <v>15</v>
      </c>
      <c r="BS57" s="3"/>
      <c r="BT57" s="3"/>
      <c r="BU57" s="10">
        <f t="shared" si="20"/>
        <v>15</v>
      </c>
      <c r="BV57" s="3">
        <v>15</v>
      </c>
      <c r="BW57" s="3">
        <v>15</v>
      </c>
      <c r="BX57" s="3"/>
      <c r="BY57" s="3"/>
      <c r="BZ57" s="11">
        <f t="shared" si="3"/>
        <v>15</v>
      </c>
      <c r="CA57" s="3">
        <v>17</v>
      </c>
      <c r="CB57" s="3">
        <v>18</v>
      </c>
      <c r="CC57" s="3"/>
      <c r="CD57" s="3"/>
      <c r="CE57" s="12">
        <f t="shared" si="5"/>
        <v>18</v>
      </c>
      <c r="CF57" s="3">
        <v>15</v>
      </c>
      <c r="CG57" s="3">
        <v>15</v>
      </c>
      <c r="CH57" s="3"/>
      <c r="CI57" s="3"/>
      <c r="CJ57" s="13">
        <f t="shared" si="6"/>
        <v>15</v>
      </c>
      <c r="CK57" s="3">
        <v>15</v>
      </c>
      <c r="CL57" s="3">
        <v>15</v>
      </c>
      <c r="CM57" s="3"/>
      <c r="CN57" s="3"/>
      <c r="CO57" s="14">
        <f t="shared" si="22"/>
        <v>15</v>
      </c>
      <c r="CP57" s="3">
        <v>15</v>
      </c>
      <c r="CQ57" s="3">
        <v>15</v>
      </c>
      <c r="CR57" s="3"/>
      <c r="CS57" s="3"/>
      <c r="CT57" s="15">
        <f t="shared" si="7"/>
        <v>15</v>
      </c>
      <c r="CU57" s="16">
        <f t="shared" si="25"/>
        <v>283</v>
      </c>
      <c r="CV57" s="16">
        <f t="shared" si="26"/>
        <v>285</v>
      </c>
      <c r="CW57" s="16"/>
      <c r="CX57" s="15"/>
      <c r="CY57" s="16">
        <f t="shared" si="21"/>
        <v>560</v>
      </c>
      <c r="CZ57" s="17"/>
    </row>
    <row r="58" spans="1:152" s="18" customFormat="1" ht="15.75" customHeight="1">
      <c r="A58" s="19">
        <f t="shared" si="11"/>
        <v>57</v>
      </c>
      <c r="B58" s="83" t="s">
        <v>58</v>
      </c>
      <c r="C58" s="28" t="s">
        <v>161</v>
      </c>
      <c r="D58" s="2" t="s">
        <v>1</v>
      </c>
      <c r="E58" s="3">
        <v>15</v>
      </c>
      <c r="F58" s="3">
        <v>16</v>
      </c>
      <c r="G58" s="3"/>
      <c r="H58" s="3"/>
      <c r="I58" s="3">
        <v>17</v>
      </c>
      <c r="J58" s="3">
        <v>17</v>
      </c>
      <c r="K58" s="3">
        <v>16</v>
      </c>
      <c r="L58" s="3">
        <v>17</v>
      </c>
      <c r="M58" s="3">
        <v>18</v>
      </c>
      <c r="N58" s="3">
        <v>17</v>
      </c>
      <c r="O58" s="3">
        <v>17</v>
      </c>
      <c r="P58" s="3">
        <v>17</v>
      </c>
      <c r="Q58" s="3">
        <v>16</v>
      </c>
      <c r="R58" s="3">
        <v>15</v>
      </c>
      <c r="S58" s="3"/>
      <c r="T58" s="3"/>
      <c r="U58" s="3">
        <v>14</v>
      </c>
      <c r="V58" s="3">
        <v>14</v>
      </c>
      <c r="W58" s="3"/>
      <c r="X58" s="3"/>
      <c r="Y58" s="5">
        <f t="shared" si="12"/>
        <v>16</v>
      </c>
      <c r="Z58" s="5">
        <f t="shared" si="13"/>
        <v>16</v>
      </c>
      <c r="AA58" s="3">
        <v>13</v>
      </c>
      <c r="AB58" s="3">
        <v>14</v>
      </c>
      <c r="AC58" s="3">
        <v>11</v>
      </c>
      <c r="AD58" s="3"/>
      <c r="AE58" s="3">
        <v>16</v>
      </c>
      <c r="AF58" s="3">
        <v>15</v>
      </c>
      <c r="AG58" s="3">
        <v>13</v>
      </c>
      <c r="AH58" s="3"/>
      <c r="AI58" s="3">
        <v>14</v>
      </c>
      <c r="AJ58" s="3">
        <v>14</v>
      </c>
      <c r="AK58" s="3"/>
      <c r="AL58" s="3"/>
      <c r="AM58" s="3">
        <v>15</v>
      </c>
      <c r="AN58" s="3">
        <v>14</v>
      </c>
      <c r="AO58" s="3">
        <v>8</v>
      </c>
      <c r="AP58" s="3"/>
      <c r="AQ58" s="6">
        <f t="shared" si="14"/>
        <v>15</v>
      </c>
      <c r="AR58" s="6">
        <f t="shared" si="27"/>
        <v>14</v>
      </c>
      <c r="AS58" s="3"/>
      <c r="AT58" s="3"/>
      <c r="AU58" s="3"/>
      <c r="AV58" s="3"/>
      <c r="AW58" s="3">
        <v>12</v>
      </c>
      <c r="AX58" s="3">
        <v>11</v>
      </c>
      <c r="AY58" s="3"/>
      <c r="AZ58" s="3"/>
      <c r="BA58" s="3">
        <v>17</v>
      </c>
      <c r="BB58" s="3">
        <v>18</v>
      </c>
      <c r="BC58" s="3">
        <v>17</v>
      </c>
      <c r="BD58" s="3">
        <v>17</v>
      </c>
      <c r="BE58" s="7">
        <f t="shared" si="16"/>
        <v>15</v>
      </c>
      <c r="BF58" s="7">
        <f t="shared" si="28"/>
        <v>15</v>
      </c>
      <c r="BG58" s="3">
        <v>12</v>
      </c>
      <c r="BH58" s="3">
        <v>11</v>
      </c>
      <c r="BI58" s="3">
        <v>12</v>
      </c>
      <c r="BJ58" s="3"/>
      <c r="BK58" s="3">
        <v>12</v>
      </c>
      <c r="BL58" s="3">
        <v>11</v>
      </c>
      <c r="BM58" s="3">
        <v>12</v>
      </c>
      <c r="BN58" s="3"/>
      <c r="BO58" s="8">
        <f t="shared" si="18"/>
        <v>12</v>
      </c>
      <c r="BP58" s="8">
        <f t="shared" si="19"/>
        <v>11</v>
      </c>
      <c r="BQ58" s="3">
        <v>14</v>
      </c>
      <c r="BR58" s="3">
        <v>14</v>
      </c>
      <c r="BS58" s="3"/>
      <c r="BT58" s="3"/>
      <c r="BU58" s="10">
        <f t="shared" si="20"/>
        <v>14</v>
      </c>
      <c r="BV58" s="3">
        <v>14</v>
      </c>
      <c r="BW58" s="3">
        <v>14</v>
      </c>
      <c r="BX58" s="3"/>
      <c r="BY58" s="3"/>
      <c r="BZ58" s="11">
        <f t="shared" si="3"/>
        <v>14</v>
      </c>
      <c r="CA58" s="3">
        <v>17</v>
      </c>
      <c r="CB58" s="3">
        <v>14</v>
      </c>
      <c r="CC58" s="3"/>
      <c r="CD58" s="3"/>
      <c r="CE58" s="12">
        <f t="shared" si="5"/>
        <v>16</v>
      </c>
      <c r="CF58" s="3">
        <v>14</v>
      </c>
      <c r="CG58" s="3">
        <v>16</v>
      </c>
      <c r="CH58" s="3"/>
      <c r="CI58" s="3"/>
      <c r="CJ58" s="13">
        <f t="shared" si="6"/>
        <v>15</v>
      </c>
      <c r="CK58" s="3">
        <v>12</v>
      </c>
      <c r="CL58" s="3">
        <v>11</v>
      </c>
      <c r="CM58" s="3"/>
      <c r="CN58" s="3"/>
      <c r="CO58" s="14">
        <f t="shared" si="22"/>
        <v>12</v>
      </c>
      <c r="CP58" s="3">
        <v>14</v>
      </c>
      <c r="CQ58" s="3">
        <v>14</v>
      </c>
      <c r="CR58" s="3"/>
      <c r="CS58" s="3"/>
      <c r="CT58" s="15">
        <f t="shared" si="7"/>
        <v>14</v>
      </c>
      <c r="CU58" s="16">
        <f t="shared" si="25"/>
        <v>262</v>
      </c>
      <c r="CV58" s="16">
        <f t="shared" si="26"/>
        <v>256</v>
      </c>
      <c r="CW58" s="16"/>
      <c r="CX58" s="15"/>
      <c r="CY58" s="16">
        <f>+CU60+CV60+CW60+CX58</f>
        <v>580</v>
      </c>
      <c r="CZ58" s="17"/>
    </row>
    <row r="59" spans="1:152">
      <c r="A59" s="19">
        <f t="shared" si="11"/>
        <v>58</v>
      </c>
      <c r="B59" s="2" t="s">
        <v>59</v>
      </c>
      <c r="C59" s="28" t="s">
        <v>161</v>
      </c>
      <c r="D59" s="2" t="s">
        <v>5</v>
      </c>
      <c r="E59" s="3">
        <v>16</v>
      </c>
      <c r="F59" s="3">
        <v>16</v>
      </c>
      <c r="G59" s="3"/>
      <c r="H59" s="3"/>
      <c r="I59" s="3">
        <v>15</v>
      </c>
      <c r="J59" s="3">
        <v>15</v>
      </c>
      <c r="K59" s="3">
        <v>16</v>
      </c>
      <c r="L59" s="3">
        <v>15</v>
      </c>
      <c r="M59" s="3">
        <v>15</v>
      </c>
      <c r="N59" s="3">
        <v>16</v>
      </c>
      <c r="O59" s="3">
        <v>16</v>
      </c>
      <c r="P59" s="3">
        <v>16</v>
      </c>
      <c r="Q59" s="3">
        <v>15</v>
      </c>
      <c r="R59" s="3">
        <v>16</v>
      </c>
      <c r="S59" s="3"/>
      <c r="T59" s="3"/>
      <c r="U59" s="3">
        <v>16</v>
      </c>
      <c r="V59" s="3">
        <v>16</v>
      </c>
      <c r="W59" s="3"/>
      <c r="X59" s="3"/>
      <c r="Y59" s="5">
        <f t="shared" si="12"/>
        <v>15</v>
      </c>
      <c r="Z59" s="5">
        <f t="shared" si="13"/>
        <v>16</v>
      </c>
      <c r="AA59" s="3">
        <v>17</v>
      </c>
      <c r="AB59" s="3">
        <v>16</v>
      </c>
      <c r="AC59" s="3">
        <v>15</v>
      </c>
      <c r="AD59" s="3"/>
      <c r="AE59" s="3">
        <v>15</v>
      </c>
      <c r="AF59" s="3">
        <v>14</v>
      </c>
      <c r="AG59" s="3">
        <v>17</v>
      </c>
      <c r="AH59" s="3"/>
      <c r="AI59" s="3">
        <v>16</v>
      </c>
      <c r="AJ59" s="3">
        <v>17</v>
      </c>
      <c r="AK59" s="3"/>
      <c r="AL59" s="3"/>
      <c r="AM59" s="3">
        <v>15</v>
      </c>
      <c r="AN59" s="3">
        <v>14</v>
      </c>
      <c r="AO59" s="3">
        <v>14</v>
      </c>
      <c r="AP59" s="3"/>
      <c r="AQ59" s="6">
        <f t="shared" si="14"/>
        <v>16</v>
      </c>
      <c r="AR59" s="6">
        <f t="shared" si="27"/>
        <v>15</v>
      </c>
      <c r="AS59" s="3">
        <v>15</v>
      </c>
      <c r="AT59" s="3">
        <v>16</v>
      </c>
      <c r="AU59" s="3"/>
      <c r="AV59" s="3"/>
      <c r="AW59" s="3">
        <v>13</v>
      </c>
      <c r="AX59" s="3">
        <v>13</v>
      </c>
      <c r="AY59" s="3"/>
      <c r="AZ59" s="3"/>
      <c r="BA59" s="3">
        <v>15</v>
      </c>
      <c r="BB59" s="3">
        <v>15</v>
      </c>
      <c r="BC59" s="3">
        <v>16</v>
      </c>
      <c r="BD59" s="3">
        <v>16</v>
      </c>
      <c r="BE59" s="7">
        <f t="shared" si="16"/>
        <v>14</v>
      </c>
      <c r="BF59" s="7">
        <f t="shared" si="28"/>
        <v>15</v>
      </c>
      <c r="BG59" s="3">
        <v>13</v>
      </c>
      <c r="BH59" s="3">
        <v>13</v>
      </c>
      <c r="BI59" s="3">
        <v>14</v>
      </c>
      <c r="BJ59" s="3"/>
      <c r="BK59" s="3">
        <v>13</v>
      </c>
      <c r="BL59" s="3">
        <v>13</v>
      </c>
      <c r="BM59" s="3">
        <v>16</v>
      </c>
      <c r="BN59" s="3"/>
      <c r="BO59" s="8">
        <f t="shared" si="18"/>
        <v>13</v>
      </c>
      <c r="BP59" s="8">
        <f t="shared" si="19"/>
        <v>13</v>
      </c>
      <c r="BQ59" s="3">
        <v>13</v>
      </c>
      <c r="BR59" s="3">
        <v>13</v>
      </c>
      <c r="BS59" s="3"/>
      <c r="BT59" s="3"/>
      <c r="BU59" s="10">
        <f t="shared" si="20"/>
        <v>13</v>
      </c>
      <c r="BV59" s="3">
        <v>13</v>
      </c>
      <c r="BW59" s="3">
        <v>13</v>
      </c>
      <c r="BX59" s="3"/>
      <c r="BY59" s="3"/>
      <c r="BZ59" s="11">
        <f t="shared" si="3"/>
        <v>13</v>
      </c>
      <c r="CA59" s="3">
        <v>15</v>
      </c>
      <c r="CB59" s="3">
        <v>18</v>
      </c>
      <c r="CC59" s="3"/>
      <c r="CD59" s="3"/>
      <c r="CE59" s="12">
        <f t="shared" si="5"/>
        <v>17</v>
      </c>
      <c r="CF59" s="3">
        <v>15</v>
      </c>
      <c r="CG59" s="3">
        <v>15</v>
      </c>
      <c r="CH59" s="3"/>
      <c r="CI59" s="3"/>
      <c r="CJ59" s="13">
        <f t="shared" si="6"/>
        <v>15</v>
      </c>
      <c r="CK59" s="3">
        <v>13</v>
      </c>
      <c r="CL59" s="3">
        <v>13</v>
      </c>
      <c r="CM59" s="3"/>
      <c r="CN59" s="3"/>
      <c r="CO59" s="14">
        <f t="shared" si="22"/>
        <v>13</v>
      </c>
      <c r="CP59" s="3">
        <v>15</v>
      </c>
      <c r="CQ59" s="3">
        <v>15</v>
      </c>
      <c r="CR59" s="3"/>
      <c r="CS59" s="3"/>
      <c r="CT59" s="15">
        <f t="shared" si="7"/>
        <v>15</v>
      </c>
      <c r="CU59" s="16">
        <f t="shared" si="25"/>
        <v>278</v>
      </c>
      <c r="CV59" s="16">
        <f t="shared" si="26"/>
        <v>282</v>
      </c>
      <c r="CW59" s="16"/>
      <c r="CX59" s="15"/>
      <c r="CY59" s="16" t="e">
        <f>+#REF!+#REF!+#REF!+CX59</f>
        <v>#REF!</v>
      </c>
      <c r="CZ59" s="210"/>
    </row>
    <row r="60" spans="1:152">
      <c r="A60" s="196">
        <f>A59+1</f>
        <v>59</v>
      </c>
      <c r="B60" s="86" t="s">
        <v>60</v>
      </c>
      <c r="C60" s="197" t="s">
        <v>161</v>
      </c>
      <c r="D60" s="122" t="s">
        <v>5</v>
      </c>
      <c r="E60" s="93">
        <v>16</v>
      </c>
      <c r="F60" s="93">
        <v>15</v>
      </c>
      <c r="G60" s="93"/>
      <c r="H60" s="93"/>
      <c r="I60" s="93">
        <v>16</v>
      </c>
      <c r="J60" s="93">
        <v>16</v>
      </c>
      <c r="K60" s="93">
        <v>16</v>
      </c>
      <c r="L60" s="93"/>
      <c r="M60" s="93">
        <v>16</v>
      </c>
      <c r="N60" s="93">
        <v>17</v>
      </c>
      <c r="O60" s="93">
        <v>17</v>
      </c>
      <c r="P60" s="93"/>
      <c r="Q60" s="93">
        <v>16</v>
      </c>
      <c r="R60" s="93">
        <v>16</v>
      </c>
      <c r="S60" s="93"/>
      <c r="T60" s="93"/>
      <c r="U60" s="93">
        <v>14</v>
      </c>
      <c r="V60" s="93">
        <v>16</v>
      </c>
      <c r="W60" s="93"/>
      <c r="X60" s="93"/>
      <c r="Y60" s="137">
        <f t="shared" si="12"/>
        <v>16</v>
      </c>
      <c r="Z60" s="137">
        <f t="shared" si="13"/>
        <v>16</v>
      </c>
      <c r="AA60" s="93">
        <v>16</v>
      </c>
      <c r="AB60" s="93">
        <v>16</v>
      </c>
      <c r="AC60" s="93">
        <v>14</v>
      </c>
      <c r="AD60" s="93"/>
      <c r="AE60" s="93">
        <v>16</v>
      </c>
      <c r="AF60" s="93">
        <v>15</v>
      </c>
      <c r="AG60" s="93">
        <v>11</v>
      </c>
      <c r="AH60" s="93"/>
      <c r="AI60" s="93">
        <v>17</v>
      </c>
      <c r="AJ60" s="93">
        <v>18</v>
      </c>
      <c r="AK60" s="93"/>
      <c r="AL60" s="93"/>
      <c r="AM60" s="93">
        <v>17</v>
      </c>
      <c r="AN60" s="93">
        <v>15</v>
      </c>
      <c r="AO60" s="93">
        <v>15</v>
      </c>
      <c r="AP60" s="93"/>
      <c r="AQ60" s="138">
        <f t="shared" si="14"/>
        <v>17</v>
      </c>
      <c r="AR60" s="138">
        <f t="shared" si="27"/>
        <v>16</v>
      </c>
      <c r="AS60" s="93">
        <v>15</v>
      </c>
      <c r="AT60" s="93">
        <v>14</v>
      </c>
      <c r="AU60" s="93"/>
      <c r="AV60" s="93"/>
      <c r="AW60" s="93">
        <v>13</v>
      </c>
      <c r="AX60" s="93">
        <v>14</v>
      </c>
      <c r="AY60" s="93"/>
      <c r="AZ60" s="93"/>
      <c r="BA60" s="93">
        <v>16</v>
      </c>
      <c r="BB60" s="93">
        <v>16</v>
      </c>
      <c r="BC60" s="93">
        <v>17</v>
      </c>
      <c r="BD60" s="93"/>
      <c r="BE60" s="139">
        <f t="shared" si="16"/>
        <v>15</v>
      </c>
      <c r="BF60" s="139">
        <f t="shared" si="28"/>
        <v>15</v>
      </c>
      <c r="BG60" s="93">
        <v>15</v>
      </c>
      <c r="BH60" s="93">
        <v>14</v>
      </c>
      <c r="BI60" s="93">
        <v>16</v>
      </c>
      <c r="BJ60" s="93"/>
      <c r="BK60" s="93">
        <v>15</v>
      </c>
      <c r="BL60" s="93">
        <v>14</v>
      </c>
      <c r="BM60" s="93">
        <v>16</v>
      </c>
      <c r="BN60" s="93"/>
      <c r="BO60" s="140">
        <f t="shared" si="18"/>
        <v>15</v>
      </c>
      <c r="BP60" s="140">
        <f t="shared" si="19"/>
        <v>14</v>
      </c>
      <c r="BQ60" s="93">
        <v>14</v>
      </c>
      <c r="BR60" s="93">
        <v>14</v>
      </c>
      <c r="BS60" s="93"/>
      <c r="BT60" s="93"/>
      <c r="BU60" s="198">
        <f t="shared" si="20"/>
        <v>14</v>
      </c>
      <c r="BV60" s="93">
        <v>14</v>
      </c>
      <c r="BW60" s="93">
        <v>14</v>
      </c>
      <c r="BX60" s="93"/>
      <c r="BY60" s="93"/>
      <c r="BZ60" s="199">
        <f t="shared" si="3"/>
        <v>14</v>
      </c>
      <c r="CA60" s="93">
        <v>16</v>
      </c>
      <c r="CB60" s="93">
        <v>15</v>
      </c>
      <c r="CC60" s="93"/>
      <c r="CD60" s="93"/>
      <c r="CE60" s="200">
        <f t="shared" si="5"/>
        <v>16</v>
      </c>
      <c r="CF60" s="93">
        <v>14</v>
      </c>
      <c r="CG60" s="93">
        <v>16</v>
      </c>
      <c r="CH60" s="93"/>
      <c r="CI60" s="93"/>
      <c r="CJ60" s="201">
        <f t="shared" si="6"/>
        <v>15</v>
      </c>
      <c r="CK60" s="93">
        <v>15</v>
      </c>
      <c r="CL60" s="93">
        <v>14</v>
      </c>
      <c r="CM60" s="93"/>
      <c r="CN60" s="93"/>
      <c r="CO60" s="202">
        <f t="shared" si="22"/>
        <v>15</v>
      </c>
      <c r="CP60" s="93">
        <v>14</v>
      </c>
      <c r="CQ60" s="93">
        <v>14</v>
      </c>
      <c r="CR60" s="93"/>
      <c r="CS60" s="93"/>
      <c r="CT60" s="141">
        <f t="shared" si="7"/>
        <v>14</v>
      </c>
      <c r="CU60" s="142">
        <f t="shared" si="25"/>
        <v>291</v>
      </c>
      <c r="CV60" s="142">
        <f t="shared" si="26"/>
        <v>289</v>
      </c>
      <c r="CW60" s="142"/>
      <c r="CX60" s="141"/>
      <c r="CY60" s="142">
        <f>+CU73+CV73+CW73+CX60</f>
        <v>0</v>
      </c>
      <c r="CZ60" s="211"/>
    </row>
    <row r="61" spans="1:152" s="29" customFormat="1">
      <c r="A61" s="203"/>
      <c r="B61" s="88" t="s">
        <v>166</v>
      </c>
      <c r="C61" s="204" t="s">
        <v>161</v>
      </c>
      <c r="D61" s="204"/>
      <c r="E61" s="94"/>
      <c r="F61" s="94"/>
      <c r="G61" s="94"/>
      <c r="H61" s="94"/>
      <c r="I61" s="94">
        <v>12</v>
      </c>
      <c r="J61" s="94">
        <v>12</v>
      </c>
      <c r="K61" s="94">
        <v>12</v>
      </c>
      <c r="L61" s="94">
        <v>12</v>
      </c>
      <c r="M61" s="94">
        <v>12</v>
      </c>
      <c r="N61" s="94">
        <v>12</v>
      </c>
      <c r="O61" s="94">
        <v>12</v>
      </c>
      <c r="P61" s="94">
        <v>12</v>
      </c>
      <c r="Q61" s="94"/>
      <c r="R61" s="94"/>
      <c r="S61" s="94"/>
      <c r="T61" s="94"/>
      <c r="U61" s="94"/>
      <c r="V61" s="94"/>
      <c r="W61" s="94"/>
      <c r="X61" s="94"/>
      <c r="Y61" s="157"/>
      <c r="Z61" s="157"/>
      <c r="AA61" s="94"/>
      <c r="AB61" s="94"/>
      <c r="AC61" s="94">
        <v>16</v>
      </c>
      <c r="AD61" s="94"/>
      <c r="AE61" s="94"/>
      <c r="AF61" s="94"/>
      <c r="AG61" s="94">
        <v>16</v>
      </c>
      <c r="AH61" s="94"/>
      <c r="AI61" s="94"/>
      <c r="AJ61" s="94"/>
      <c r="AK61" s="94"/>
      <c r="AL61" s="94"/>
      <c r="AM61" s="94"/>
      <c r="AN61" s="94"/>
      <c r="AO61" s="94">
        <v>16</v>
      </c>
      <c r="AP61" s="94"/>
      <c r="AQ61" s="158" t="e">
        <f t="shared" si="14"/>
        <v>#DIV/0!</v>
      </c>
      <c r="AR61" s="158" t="e">
        <f t="shared" si="27"/>
        <v>#DIV/0!</v>
      </c>
      <c r="AS61" s="94"/>
      <c r="AT61" s="94"/>
      <c r="AU61" s="94"/>
      <c r="AV61" s="94"/>
      <c r="AW61" s="94"/>
      <c r="AX61" s="94"/>
      <c r="AY61" s="94"/>
      <c r="AZ61" s="94"/>
      <c r="BA61" s="94">
        <v>12</v>
      </c>
      <c r="BB61" s="94">
        <v>12</v>
      </c>
      <c r="BC61" s="94">
        <v>12</v>
      </c>
      <c r="BD61" s="94">
        <v>12</v>
      </c>
      <c r="BE61" s="159"/>
      <c r="BF61" s="159"/>
      <c r="BG61" s="94"/>
      <c r="BH61" s="94"/>
      <c r="BI61" s="94">
        <v>18</v>
      </c>
      <c r="BJ61" s="94"/>
      <c r="BK61" s="94"/>
      <c r="BL61" s="94"/>
      <c r="BM61" s="94">
        <v>18</v>
      </c>
      <c r="BN61" s="94"/>
      <c r="BO61" s="160"/>
      <c r="BP61" s="160"/>
      <c r="BQ61" s="94"/>
      <c r="BR61" s="94"/>
      <c r="BS61" s="94"/>
      <c r="BT61" s="94"/>
      <c r="BU61" s="205"/>
      <c r="BV61" s="94"/>
      <c r="BW61" s="94"/>
      <c r="BX61" s="94"/>
      <c r="BY61" s="94"/>
      <c r="BZ61" s="206"/>
      <c r="CA61" s="94"/>
      <c r="CB61" s="94"/>
      <c r="CC61" s="94"/>
      <c r="CD61" s="94"/>
      <c r="CE61" s="207"/>
      <c r="CF61" s="94"/>
      <c r="CG61" s="94"/>
      <c r="CH61" s="94"/>
      <c r="CI61" s="94"/>
      <c r="CJ61" s="208"/>
      <c r="CK61" s="94"/>
      <c r="CL61" s="94"/>
      <c r="CM61" s="94"/>
      <c r="CN61" s="94"/>
      <c r="CO61" s="209"/>
      <c r="CP61" s="94"/>
      <c r="CQ61" s="94"/>
      <c r="CR61" s="94"/>
      <c r="CS61" s="94"/>
      <c r="CT61" s="161"/>
      <c r="CU61" s="162"/>
      <c r="CV61" s="162"/>
      <c r="CW61" s="162"/>
      <c r="CX61" s="161"/>
      <c r="CY61" s="162"/>
      <c r="DA61" s="132"/>
      <c r="DB61" s="132"/>
      <c r="DC61" s="132"/>
      <c r="DD61" s="132"/>
      <c r="DE61" s="132"/>
      <c r="DF61" s="132"/>
      <c r="DG61" s="132"/>
      <c r="DH61" s="132"/>
      <c r="DI61" s="132"/>
      <c r="DJ61" s="132"/>
      <c r="DK61" s="132"/>
      <c r="DL61" s="132"/>
      <c r="DM61" s="132"/>
      <c r="DN61" s="132"/>
      <c r="DO61" s="132"/>
      <c r="DP61" s="132"/>
      <c r="DQ61" s="132"/>
      <c r="DR61" s="132"/>
      <c r="DS61" s="132"/>
      <c r="DT61" s="132"/>
      <c r="DU61" s="132"/>
      <c r="DV61" s="132"/>
      <c r="DW61" s="132"/>
      <c r="DX61" s="132"/>
      <c r="DY61" s="132"/>
      <c r="DZ61" s="132"/>
      <c r="EA61" s="132"/>
      <c r="EB61" s="132"/>
      <c r="EC61" s="132"/>
      <c r="ED61" s="132"/>
      <c r="EE61" s="132"/>
      <c r="EF61" s="132"/>
      <c r="EG61" s="132"/>
      <c r="EH61" s="132"/>
      <c r="EI61" s="132"/>
      <c r="EJ61" s="132"/>
      <c r="EK61" s="132"/>
      <c r="EL61" s="132"/>
      <c r="EM61" s="132"/>
      <c r="EN61" s="132"/>
      <c r="EO61" s="132"/>
      <c r="EP61" s="132"/>
      <c r="EQ61" s="132"/>
      <c r="ER61" s="132"/>
      <c r="ES61" s="132"/>
      <c r="ET61" s="132"/>
      <c r="EU61" s="132"/>
      <c r="EV61" s="174"/>
    </row>
    <row r="62" spans="1:152" s="29" customFormat="1">
      <c r="A62" s="203"/>
      <c r="B62" s="88" t="s">
        <v>167</v>
      </c>
      <c r="C62" s="204" t="s">
        <v>161</v>
      </c>
      <c r="D62" s="20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157"/>
      <c r="Z62" s="157"/>
      <c r="AA62" s="94"/>
      <c r="AB62" s="94"/>
      <c r="AC62" s="94">
        <v>11</v>
      </c>
      <c r="AD62" s="94"/>
      <c r="AE62" s="94"/>
      <c r="AF62" s="94"/>
      <c r="AG62" s="94">
        <v>11</v>
      </c>
      <c r="AH62" s="94"/>
      <c r="AI62" s="94"/>
      <c r="AJ62" s="94"/>
      <c r="AK62" s="94"/>
      <c r="AL62" s="94"/>
      <c r="AM62" s="94"/>
      <c r="AN62" s="94"/>
      <c r="AO62" s="94">
        <v>8</v>
      </c>
      <c r="AP62" s="94"/>
      <c r="AQ62" s="158" t="e">
        <f t="shared" si="14"/>
        <v>#DIV/0!</v>
      </c>
      <c r="AR62" s="158" t="e">
        <f t="shared" si="27"/>
        <v>#DIV/0!</v>
      </c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159"/>
      <c r="BF62" s="159"/>
      <c r="BG62" s="94"/>
      <c r="BH62" s="94"/>
      <c r="BI62" s="94"/>
      <c r="BJ62" s="94"/>
      <c r="BK62" s="94"/>
      <c r="BL62" s="94"/>
      <c r="BM62" s="94"/>
      <c r="BN62" s="94"/>
      <c r="BO62" s="160"/>
      <c r="BP62" s="160"/>
      <c r="BQ62" s="94"/>
      <c r="BR62" s="94"/>
      <c r="BS62" s="94"/>
      <c r="BT62" s="94"/>
      <c r="BU62" s="205"/>
      <c r="BV62" s="94"/>
      <c r="BW62" s="94"/>
      <c r="BX62" s="94"/>
      <c r="BY62" s="94"/>
      <c r="BZ62" s="206"/>
      <c r="CA62" s="94"/>
      <c r="CB62" s="94"/>
      <c r="CC62" s="94"/>
      <c r="CD62" s="94"/>
      <c r="CE62" s="207"/>
      <c r="CF62" s="94"/>
      <c r="CG62" s="94"/>
      <c r="CH62" s="94"/>
      <c r="CI62" s="94"/>
      <c r="CJ62" s="208"/>
      <c r="CK62" s="94"/>
      <c r="CL62" s="94"/>
      <c r="CM62" s="94"/>
      <c r="CN62" s="94"/>
      <c r="CO62" s="209"/>
      <c r="CP62" s="94"/>
      <c r="CQ62" s="94"/>
      <c r="CR62" s="94"/>
      <c r="CS62" s="94"/>
      <c r="CT62" s="161"/>
      <c r="CU62" s="162"/>
      <c r="CV62" s="162"/>
      <c r="CW62" s="162"/>
      <c r="CX62" s="161"/>
      <c r="CY62" s="162"/>
      <c r="DA62" s="132"/>
      <c r="DB62" s="132"/>
      <c r="DC62" s="132"/>
      <c r="DD62" s="132"/>
      <c r="DE62" s="132"/>
      <c r="DF62" s="132"/>
      <c r="DG62" s="132"/>
      <c r="DH62" s="132"/>
      <c r="DI62" s="132"/>
      <c r="DJ62" s="132"/>
      <c r="DK62" s="132"/>
      <c r="DL62" s="132"/>
      <c r="DM62" s="132"/>
      <c r="DN62" s="132"/>
      <c r="DO62" s="132"/>
      <c r="DP62" s="132"/>
      <c r="DQ62" s="132"/>
      <c r="DR62" s="132"/>
      <c r="DS62" s="132"/>
      <c r="DT62" s="132"/>
      <c r="DU62" s="132"/>
      <c r="DV62" s="132"/>
      <c r="DW62" s="132"/>
      <c r="DX62" s="132"/>
      <c r="DY62" s="132"/>
      <c r="DZ62" s="132"/>
      <c r="EA62" s="132"/>
      <c r="EB62" s="132"/>
      <c r="EC62" s="132"/>
      <c r="ED62" s="132"/>
      <c r="EE62" s="132"/>
      <c r="EF62" s="132"/>
      <c r="EG62" s="132"/>
      <c r="EH62" s="132"/>
      <c r="EI62" s="132"/>
      <c r="EJ62" s="132"/>
      <c r="EK62" s="132"/>
      <c r="EL62" s="132"/>
      <c r="EM62" s="132"/>
      <c r="EN62" s="132"/>
      <c r="EO62" s="132"/>
      <c r="EP62" s="132"/>
      <c r="EQ62" s="132"/>
      <c r="ER62" s="132"/>
      <c r="ES62" s="132"/>
      <c r="ET62" s="132"/>
      <c r="EU62" s="132"/>
      <c r="EV62" s="174"/>
    </row>
    <row r="63" spans="1:152" s="29" customFormat="1">
      <c r="A63" s="203"/>
      <c r="B63" s="88" t="s">
        <v>168</v>
      </c>
      <c r="C63" s="204" t="s">
        <v>161</v>
      </c>
      <c r="D63" s="204"/>
      <c r="E63" s="94"/>
      <c r="F63" s="94"/>
      <c r="G63" s="94"/>
      <c r="H63" s="94"/>
      <c r="I63" s="94">
        <v>12</v>
      </c>
      <c r="J63" s="94">
        <v>12</v>
      </c>
      <c r="K63" s="94">
        <v>12</v>
      </c>
      <c r="L63" s="94">
        <v>14</v>
      </c>
      <c r="M63" s="94">
        <v>12</v>
      </c>
      <c r="N63" s="94">
        <v>12</v>
      </c>
      <c r="O63" s="94">
        <v>12</v>
      </c>
      <c r="P63" s="94">
        <v>14</v>
      </c>
      <c r="Q63" s="94"/>
      <c r="R63" s="94"/>
      <c r="S63" s="94"/>
      <c r="T63" s="94"/>
      <c r="U63" s="94"/>
      <c r="V63" s="94"/>
      <c r="W63" s="94"/>
      <c r="X63" s="94"/>
      <c r="Y63" s="157"/>
      <c r="Z63" s="157"/>
      <c r="AA63" s="94"/>
      <c r="AB63" s="94"/>
      <c r="AC63" s="94">
        <v>11</v>
      </c>
      <c r="AD63" s="94"/>
      <c r="AE63" s="94"/>
      <c r="AF63" s="94"/>
      <c r="AG63" s="94">
        <v>12</v>
      </c>
      <c r="AH63" s="94"/>
      <c r="AI63" s="94"/>
      <c r="AJ63" s="94"/>
      <c r="AK63" s="94"/>
      <c r="AL63" s="94"/>
      <c r="AM63" s="94"/>
      <c r="AN63" s="94"/>
      <c r="AO63" s="94">
        <v>14</v>
      </c>
      <c r="AP63" s="94"/>
      <c r="AQ63" s="158" t="e">
        <f t="shared" si="14"/>
        <v>#DIV/0!</v>
      </c>
      <c r="AR63" s="158" t="e">
        <f t="shared" si="27"/>
        <v>#DIV/0!</v>
      </c>
      <c r="AS63" s="94"/>
      <c r="AT63" s="94"/>
      <c r="AU63" s="94"/>
      <c r="AV63" s="94"/>
      <c r="AW63" s="94"/>
      <c r="AX63" s="94"/>
      <c r="AY63" s="94"/>
      <c r="AZ63" s="94"/>
      <c r="BA63" s="94">
        <v>12</v>
      </c>
      <c r="BB63" s="94">
        <v>12</v>
      </c>
      <c r="BC63" s="94">
        <v>12</v>
      </c>
      <c r="BD63" s="94">
        <v>12</v>
      </c>
      <c r="BE63" s="159"/>
      <c r="BF63" s="159"/>
      <c r="BG63" s="94"/>
      <c r="BH63" s="94"/>
      <c r="BI63" s="94"/>
      <c r="BJ63" s="94"/>
      <c r="BK63" s="94"/>
      <c r="BL63" s="94"/>
      <c r="BM63" s="94"/>
      <c r="BN63" s="94"/>
      <c r="BO63" s="160"/>
      <c r="BP63" s="160"/>
      <c r="BQ63" s="94"/>
      <c r="BR63" s="94"/>
      <c r="BS63" s="94"/>
      <c r="BT63" s="94"/>
      <c r="BU63" s="205"/>
      <c r="BV63" s="94"/>
      <c r="BW63" s="94"/>
      <c r="BX63" s="94"/>
      <c r="BY63" s="94"/>
      <c r="BZ63" s="206"/>
      <c r="CA63" s="94"/>
      <c r="CB63" s="94"/>
      <c r="CC63" s="94"/>
      <c r="CD63" s="94"/>
      <c r="CE63" s="207"/>
      <c r="CF63" s="94"/>
      <c r="CG63" s="94"/>
      <c r="CH63" s="94"/>
      <c r="CI63" s="94"/>
      <c r="CJ63" s="208"/>
      <c r="CK63" s="94"/>
      <c r="CL63" s="94"/>
      <c r="CM63" s="94"/>
      <c r="CN63" s="94"/>
      <c r="CO63" s="209"/>
      <c r="CP63" s="94"/>
      <c r="CQ63" s="94"/>
      <c r="CR63" s="94"/>
      <c r="CS63" s="94"/>
      <c r="CT63" s="161"/>
      <c r="CU63" s="162"/>
      <c r="CV63" s="162"/>
      <c r="CW63" s="162"/>
      <c r="CX63" s="161"/>
      <c r="CY63" s="162"/>
      <c r="DA63" s="132"/>
      <c r="DB63" s="132"/>
      <c r="DC63" s="132"/>
      <c r="DD63" s="132"/>
      <c r="DE63" s="132"/>
      <c r="DF63" s="132"/>
      <c r="DG63" s="132"/>
      <c r="DH63" s="132"/>
      <c r="DI63" s="132"/>
      <c r="DJ63" s="132"/>
      <c r="DK63" s="132"/>
      <c r="DL63" s="132"/>
      <c r="DM63" s="132"/>
      <c r="DN63" s="132"/>
      <c r="DO63" s="132"/>
      <c r="DP63" s="132"/>
      <c r="DQ63" s="132"/>
      <c r="DR63" s="132"/>
      <c r="DS63" s="132"/>
      <c r="DT63" s="132"/>
      <c r="DU63" s="132"/>
      <c r="DV63" s="132"/>
      <c r="DW63" s="132"/>
      <c r="DX63" s="132"/>
      <c r="DY63" s="132"/>
      <c r="DZ63" s="132"/>
      <c r="EA63" s="132"/>
      <c r="EB63" s="132"/>
      <c r="EC63" s="132"/>
      <c r="ED63" s="132"/>
      <c r="EE63" s="132"/>
      <c r="EF63" s="132"/>
      <c r="EG63" s="132"/>
      <c r="EH63" s="132"/>
      <c r="EI63" s="132"/>
      <c r="EJ63" s="132"/>
      <c r="EK63" s="132"/>
      <c r="EL63" s="132"/>
      <c r="EM63" s="132"/>
      <c r="EN63" s="132"/>
      <c r="EO63" s="132"/>
      <c r="EP63" s="132"/>
      <c r="EQ63" s="132"/>
      <c r="ER63" s="132"/>
      <c r="ES63" s="132"/>
      <c r="ET63" s="132"/>
      <c r="EU63" s="132"/>
      <c r="EV63" s="174"/>
    </row>
    <row r="64" spans="1:152" s="29" customFormat="1">
      <c r="A64" s="203"/>
      <c r="B64" s="88" t="s">
        <v>169</v>
      </c>
      <c r="C64" s="204" t="s">
        <v>161</v>
      </c>
      <c r="D64" s="204"/>
      <c r="E64" s="94"/>
      <c r="F64" s="94"/>
      <c r="G64" s="94"/>
      <c r="H64" s="94"/>
      <c r="I64" s="94">
        <v>12</v>
      </c>
      <c r="J64" s="94">
        <v>12</v>
      </c>
      <c r="K64" s="94">
        <v>12</v>
      </c>
      <c r="L64" s="94">
        <v>13</v>
      </c>
      <c r="M64" s="94">
        <v>12</v>
      </c>
      <c r="N64" s="94">
        <v>12</v>
      </c>
      <c r="O64" s="94">
        <v>12</v>
      </c>
      <c r="P64" s="94">
        <v>12</v>
      </c>
      <c r="Q64" s="94"/>
      <c r="R64" s="94"/>
      <c r="S64" s="94"/>
      <c r="T64" s="94"/>
      <c r="U64" s="94"/>
      <c r="V64" s="94"/>
      <c r="W64" s="94"/>
      <c r="X64" s="94"/>
      <c r="Y64" s="157"/>
      <c r="Z64" s="157"/>
      <c r="AA64" s="94"/>
      <c r="AB64" s="94"/>
      <c r="AC64" s="94">
        <v>14</v>
      </c>
      <c r="AD64" s="94"/>
      <c r="AE64" s="94"/>
      <c r="AF64" s="94"/>
      <c r="AG64" s="94">
        <v>12</v>
      </c>
      <c r="AH64" s="94"/>
      <c r="AI64" s="94"/>
      <c r="AJ64" s="94"/>
      <c r="AK64" s="94"/>
      <c r="AL64" s="94"/>
      <c r="AM64" s="94"/>
      <c r="AN64" s="94"/>
      <c r="AO64" s="94">
        <v>11</v>
      </c>
      <c r="AP64" s="94"/>
      <c r="AQ64" s="158" t="e">
        <f t="shared" si="14"/>
        <v>#DIV/0!</v>
      </c>
      <c r="AR64" s="158" t="e">
        <f t="shared" si="27"/>
        <v>#DIV/0!</v>
      </c>
      <c r="AS64" s="94"/>
      <c r="AT64" s="94"/>
      <c r="AU64" s="94"/>
      <c r="AV64" s="94"/>
      <c r="AW64" s="94"/>
      <c r="AX64" s="94"/>
      <c r="AY64" s="94"/>
      <c r="AZ64" s="94"/>
      <c r="BA64" s="94">
        <v>12</v>
      </c>
      <c r="BB64" s="94">
        <v>12</v>
      </c>
      <c r="BC64" s="94">
        <v>12</v>
      </c>
      <c r="BD64" s="94">
        <v>12</v>
      </c>
      <c r="BE64" s="159"/>
      <c r="BF64" s="159"/>
      <c r="BG64" s="94"/>
      <c r="BH64" s="94"/>
      <c r="BI64" s="94">
        <v>16</v>
      </c>
      <c r="BJ64" s="94"/>
      <c r="BK64" s="94"/>
      <c r="BL64" s="94"/>
      <c r="BM64" s="94">
        <v>16</v>
      </c>
      <c r="BN64" s="94"/>
      <c r="BO64" s="160"/>
      <c r="BP64" s="160"/>
      <c r="BQ64" s="94"/>
      <c r="BR64" s="94"/>
      <c r="BS64" s="94"/>
      <c r="BT64" s="94"/>
      <c r="BU64" s="205"/>
      <c r="BV64" s="94"/>
      <c r="BW64" s="94"/>
      <c r="BX64" s="94"/>
      <c r="BY64" s="94"/>
      <c r="BZ64" s="206"/>
      <c r="CA64" s="94"/>
      <c r="CB64" s="94"/>
      <c r="CC64" s="94"/>
      <c r="CD64" s="94"/>
      <c r="CE64" s="207"/>
      <c r="CF64" s="94"/>
      <c r="CG64" s="94"/>
      <c r="CH64" s="94"/>
      <c r="CI64" s="94"/>
      <c r="CJ64" s="208"/>
      <c r="CK64" s="94"/>
      <c r="CL64" s="94"/>
      <c r="CM64" s="94"/>
      <c r="CN64" s="94"/>
      <c r="CO64" s="209"/>
      <c r="CP64" s="94"/>
      <c r="CQ64" s="94"/>
      <c r="CR64" s="94"/>
      <c r="CS64" s="94"/>
      <c r="CT64" s="161"/>
      <c r="CU64" s="162"/>
      <c r="CV64" s="162"/>
      <c r="CW64" s="162"/>
      <c r="CX64" s="161"/>
      <c r="CY64" s="162"/>
      <c r="DA64" s="132"/>
      <c r="DB64" s="132"/>
      <c r="DC64" s="132"/>
      <c r="DD64" s="132"/>
      <c r="DE64" s="132"/>
      <c r="DF64" s="132"/>
      <c r="DG64" s="132"/>
      <c r="DH64" s="132"/>
      <c r="DI64" s="132"/>
      <c r="DJ64" s="132"/>
      <c r="DK64" s="132"/>
      <c r="DL64" s="132"/>
      <c r="DM64" s="132"/>
      <c r="DN64" s="132"/>
      <c r="DO64" s="132"/>
      <c r="DP64" s="132"/>
      <c r="DQ64" s="132"/>
      <c r="DR64" s="132"/>
      <c r="DS64" s="132"/>
      <c r="DT64" s="132"/>
      <c r="DU64" s="132"/>
      <c r="DV64" s="132"/>
      <c r="DW64" s="132"/>
      <c r="DX64" s="132"/>
      <c r="DY64" s="132"/>
      <c r="DZ64" s="132"/>
      <c r="EA64" s="132"/>
      <c r="EB64" s="132"/>
      <c r="EC64" s="132"/>
      <c r="ED64" s="132"/>
      <c r="EE64" s="132"/>
      <c r="EF64" s="132"/>
      <c r="EG64" s="132"/>
      <c r="EH64" s="132"/>
      <c r="EI64" s="132"/>
      <c r="EJ64" s="132"/>
      <c r="EK64" s="132"/>
      <c r="EL64" s="132"/>
      <c r="EM64" s="132"/>
      <c r="EN64" s="132"/>
      <c r="EO64" s="132"/>
      <c r="EP64" s="132"/>
      <c r="EQ64" s="132"/>
      <c r="ER64" s="132"/>
      <c r="ES64" s="132"/>
      <c r="ET64" s="132"/>
      <c r="EU64" s="132"/>
      <c r="EV64" s="174"/>
    </row>
    <row r="65" spans="1:152" s="29" customFormat="1">
      <c r="A65" s="203"/>
      <c r="B65" s="88" t="s">
        <v>170</v>
      </c>
      <c r="C65" s="204" t="s">
        <v>161</v>
      </c>
      <c r="D65" s="204"/>
      <c r="E65" s="94"/>
      <c r="F65" s="94"/>
      <c r="G65" s="94"/>
      <c r="H65" s="94"/>
      <c r="I65" s="94">
        <v>12</v>
      </c>
      <c r="J65" s="94">
        <v>12</v>
      </c>
      <c r="K65" s="94">
        <v>17</v>
      </c>
      <c r="L65" s="94">
        <v>16</v>
      </c>
      <c r="M65" s="94">
        <v>12</v>
      </c>
      <c r="N65" s="94">
        <v>12</v>
      </c>
      <c r="O65" s="94">
        <v>17</v>
      </c>
      <c r="P65" s="94">
        <v>16</v>
      </c>
      <c r="Q65" s="94"/>
      <c r="R65" s="94"/>
      <c r="S65" s="94"/>
      <c r="T65" s="94"/>
      <c r="U65" s="94"/>
      <c r="V65" s="94"/>
      <c r="W65" s="94"/>
      <c r="X65" s="94"/>
      <c r="Y65" s="157"/>
      <c r="Z65" s="157"/>
      <c r="AA65" s="94"/>
      <c r="AB65" s="94"/>
      <c r="AC65" s="94">
        <v>15</v>
      </c>
      <c r="AD65" s="94"/>
      <c r="AE65" s="94"/>
      <c r="AF65" s="94"/>
      <c r="AG65" s="94">
        <v>11</v>
      </c>
      <c r="AH65" s="94"/>
      <c r="AI65" s="94"/>
      <c r="AJ65" s="94"/>
      <c r="AK65" s="94"/>
      <c r="AL65" s="94"/>
      <c r="AM65" s="94"/>
      <c r="AN65" s="94"/>
      <c r="AO65" s="94">
        <v>12</v>
      </c>
      <c r="AP65" s="94"/>
      <c r="AQ65" s="158" t="e">
        <f t="shared" si="14"/>
        <v>#DIV/0!</v>
      </c>
      <c r="AR65" s="158" t="e">
        <f t="shared" si="27"/>
        <v>#DIV/0!</v>
      </c>
      <c r="AS65" s="94"/>
      <c r="AT65" s="94"/>
      <c r="AU65" s="94"/>
      <c r="AV65" s="94"/>
      <c r="AW65" s="94"/>
      <c r="AX65" s="94"/>
      <c r="AY65" s="94"/>
      <c r="AZ65" s="94"/>
      <c r="BA65" s="94">
        <v>12</v>
      </c>
      <c r="BB65" s="94">
        <v>12</v>
      </c>
      <c r="BC65" s="94">
        <v>17</v>
      </c>
      <c r="BD65" s="94">
        <v>17</v>
      </c>
      <c r="BE65" s="159"/>
      <c r="BF65" s="159"/>
      <c r="BG65" s="94"/>
      <c r="BH65" s="94"/>
      <c r="BI65" s="94"/>
      <c r="BJ65" s="94"/>
      <c r="BK65" s="94"/>
      <c r="BL65" s="94"/>
      <c r="BM65" s="94"/>
      <c r="BN65" s="94"/>
      <c r="BO65" s="160"/>
      <c r="BP65" s="160"/>
      <c r="BQ65" s="94"/>
      <c r="BR65" s="94"/>
      <c r="BS65" s="94"/>
      <c r="BT65" s="94"/>
      <c r="BU65" s="205"/>
      <c r="BV65" s="94"/>
      <c r="BW65" s="94"/>
      <c r="BX65" s="94"/>
      <c r="BY65" s="94"/>
      <c r="BZ65" s="206"/>
      <c r="CA65" s="94"/>
      <c r="CB65" s="94"/>
      <c r="CC65" s="94"/>
      <c r="CD65" s="94"/>
      <c r="CE65" s="207"/>
      <c r="CF65" s="94"/>
      <c r="CG65" s="94"/>
      <c r="CH65" s="94"/>
      <c r="CI65" s="94"/>
      <c r="CJ65" s="208"/>
      <c r="CK65" s="94"/>
      <c r="CL65" s="94"/>
      <c r="CM65" s="94"/>
      <c r="CN65" s="94"/>
      <c r="CO65" s="209"/>
      <c r="CP65" s="94"/>
      <c r="CQ65" s="94"/>
      <c r="CR65" s="94"/>
      <c r="CS65" s="94"/>
      <c r="CT65" s="161"/>
      <c r="CU65" s="162"/>
      <c r="CV65" s="162"/>
      <c r="CW65" s="162"/>
      <c r="CX65" s="161"/>
      <c r="CY65" s="162"/>
      <c r="DA65" s="132"/>
      <c r="DB65" s="132"/>
      <c r="DC65" s="132"/>
      <c r="DD65" s="132"/>
      <c r="DE65" s="132"/>
      <c r="DF65" s="132"/>
      <c r="DG65" s="132"/>
      <c r="DH65" s="132"/>
      <c r="DI65" s="132"/>
      <c r="DJ65" s="132"/>
      <c r="DK65" s="132"/>
      <c r="DL65" s="132"/>
      <c r="DM65" s="132"/>
      <c r="DN65" s="132"/>
      <c r="DO65" s="132"/>
      <c r="DP65" s="132"/>
      <c r="DQ65" s="132"/>
      <c r="DR65" s="132"/>
      <c r="DS65" s="132"/>
      <c r="DT65" s="132"/>
      <c r="DU65" s="132"/>
      <c r="DV65" s="132"/>
      <c r="DW65" s="132"/>
      <c r="DX65" s="132"/>
      <c r="DY65" s="132"/>
      <c r="DZ65" s="132"/>
      <c r="EA65" s="132"/>
      <c r="EB65" s="132"/>
      <c r="EC65" s="132"/>
      <c r="ED65" s="132"/>
      <c r="EE65" s="132"/>
      <c r="EF65" s="132"/>
      <c r="EG65" s="132"/>
      <c r="EH65" s="132"/>
      <c r="EI65" s="132"/>
      <c r="EJ65" s="132"/>
      <c r="EK65" s="132"/>
      <c r="EL65" s="132"/>
      <c r="EM65" s="132"/>
      <c r="EN65" s="132"/>
      <c r="EO65" s="132"/>
      <c r="EP65" s="132"/>
      <c r="EQ65" s="132"/>
      <c r="ER65" s="132"/>
      <c r="ES65" s="132"/>
      <c r="ET65" s="132"/>
      <c r="EU65" s="132"/>
      <c r="EV65" s="174"/>
    </row>
    <row r="66" spans="1:152">
      <c r="A66" s="92"/>
      <c r="B66" s="92"/>
      <c r="C66" s="92"/>
      <c r="D66" s="92"/>
      <c r="E66" s="92"/>
      <c r="F66" s="92"/>
      <c r="G66" s="92"/>
      <c r="H66" s="92"/>
      <c r="DA66" s="132"/>
      <c r="DB66" s="132"/>
      <c r="DC66" s="132"/>
      <c r="DD66" s="132"/>
      <c r="DE66" s="132"/>
      <c r="DF66" s="132"/>
      <c r="DG66" s="132"/>
      <c r="DH66" s="132"/>
      <c r="DI66" s="132"/>
      <c r="DJ66" s="132"/>
      <c r="DK66" s="132"/>
      <c r="DL66" s="132"/>
      <c r="DM66" s="132"/>
      <c r="DN66" s="132"/>
      <c r="DO66" s="132"/>
      <c r="DP66" s="132"/>
      <c r="DQ66" s="132"/>
      <c r="DR66" s="132"/>
      <c r="DS66" s="132"/>
      <c r="DT66" s="132"/>
      <c r="DU66" s="132"/>
      <c r="DV66" s="132"/>
      <c r="DW66" s="132"/>
      <c r="DX66" s="132"/>
      <c r="DY66" s="132"/>
      <c r="DZ66" s="132"/>
      <c r="EA66" s="132"/>
      <c r="EB66" s="132"/>
      <c r="EC66" s="132"/>
      <c r="ED66" s="132"/>
      <c r="EE66" s="132"/>
      <c r="EF66" s="132"/>
      <c r="EG66" s="132"/>
      <c r="EH66" s="132"/>
      <c r="EI66" s="132"/>
      <c r="EJ66" s="132"/>
      <c r="EK66" s="132"/>
      <c r="EL66" s="132"/>
      <c r="EM66" s="132"/>
      <c r="EN66" s="132"/>
      <c r="EO66" s="132"/>
      <c r="EP66" s="132"/>
      <c r="EQ66" s="132"/>
      <c r="ER66" s="132"/>
      <c r="ES66" s="132"/>
      <c r="ET66" s="132"/>
      <c r="EU66" s="132"/>
    </row>
    <row r="67" spans="1:152">
      <c r="A67" s="92"/>
      <c r="B67" s="92"/>
      <c r="C67" s="92"/>
      <c r="D67" s="92"/>
      <c r="E67" s="92"/>
      <c r="F67" s="92"/>
      <c r="G67" s="92"/>
      <c r="H67" s="92"/>
      <c r="I67" s="92"/>
    </row>
    <row r="68" spans="1:152">
      <c r="A68" s="92"/>
      <c r="B68" s="92"/>
      <c r="C68" s="92"/>
      <c r="D68" s="92"/>
      <c r="E68" s="92"/>
      <c r="F68" s="92"/>
      <c r="G68" s="92"/>
      <c r="H68" s="92"/>
      <c r="I68" s="92"/>
    </row>
    <row r="69" spans="1:152">
      <c r="A69" s="92"/>
      <c r="B69" s="92"/>
      <c r="C69" s="92"/>
      <c r="D69" s="92"/>
      <c r="E69" s="92"/>
      <c r="F69" s="92"/>
      <c r="G69" s="92"/>
      <c r="H69" s="92"/>
      <c r="I69" s="92"/>
    </row>
    <row r="70" spans="1:152">
      <c r="A70" s="92"/>
      <c r="B70" s="92"/>
      <c r="C70" s="92"/>
      <c r="D70" s="92"/>
      <c r="E70" s="92"/>
      <c r="F70" s="92"/>
      <c r="G70" s="92"/>
      <c r="H70" s="92"/>
      <c r="I70" s="92"/>
    </row>
    <row r="71" spans="1:152">
      <c r="A71" s="92"/>
      <c r="B71" s="92"/>
      <c r="C71" s="92"/>
      <c r="D71" s="92"/>
      <c r="E71" s="92"/>
      <c r="F71" s="92"/>
      <c r="G71" s="92"/>
      <c r="H71" s="92"/>
      <c r="I71" s="92"/>
    </row>
    <row r="73" spans="1:152">
      <c r="A73" s="1"/>
      <c r="B73" s="2"/>
      <c r="C73" s="2"/>
      <c r="D73" s="2"/>
      <c r="E73" s="3"/>
      <c r="F73" s="3"/>
      <c r="G73" s="3"/>
      <c r="H73" s="3"/>
      <c r="I73" s="3"/>
      <c r="J73" s="3"/>
      <c r="K73" s="3"/>
      <c r="L73" s="2"/>
      <c r="M73" s="3"/>
      <c r="N73" s="3"/>
      <c r="O73" s="3"/>
      <c r="P73" s="3"/>
      <c r="Q73" s="3"/>
      <c r="R73" s="3"/>
      <c r="S73" s="3"/>
      <c r="T73" s="3"/>
      <c r="U73" s="3"/>
      <c r="V73" s="3"/>
      <c r="W73" s="213"/>
      <c r="X73" s="212"/>
      <c r="Y73" s="217"/>
      <c r="Z73" s="5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18"/>
      <c r="AQ73" s="6"/>
      <c r="AR73" s="6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18"/>
      <c r="BE73" s="7"/>
      <c r="BF73" s="7"/>
      <c r="BG73" s="3"/>
      <c r="BH73" s="3"/>
      <c r="BI73" s="3"/>
      <c r="BJ73" s="3"/>
      <c r="BK73" s="3"/>
      <c r="BL73" s="3"/>
      <c r="BM73" s="3"/>
      <c r="BN73" s="3"/>
      <c r="BO73" s="8"/>
      <c r="BP73" s="8"/>
      <c r="BQ73" s="3"/>
      <c r="BR73" s="3"/>
      <c r="BS73" s="3"/>
      <c r="BT73" s="3"/>
      <c r="BU73" s="10"/>
      <c r="BV73" s="3"/>
      <c r="BW73" s="3"/>
      <c r="BX73" s="3"/>
      <c r="BY73" s="3"/>
      <c r="BZ73" s="11"/>
      <c r="CA73" s="3"/>
      <c r="CB73" s="3"/>
      <c r="CC73" s="3"/>
      <c r="CD73" s="3"/>
      <c r="CE73" s="12"/>
      <c r="CF73" s="3"/>
      <c r="CG73" s="3"/>
      <c r="CH73" s="3"/>
      <c r="CI73" s="3"/>
      <c r="CJ73" s="13"/>
      <c r="CK73" s="3"/>
      <c r="CL73" s="3"/>
      <c r="CM73" s="3"/>
      <c r="CN73" s="3"/>
      <c r="CO73" s="14"/>
      <c r="CP73" s="3"/>
      <c r="CQ73" s="3"/>
      <c r="CR73" s="3"/>
      <c r="CS73" s="3"/>
      <c r="CT73" s="15"/>
      <c r="CU73" s="16"/>
      <c r="CV73" s="16"/>
      <c r="CW73" s="16"/>
      <c r="CX73" s="15"/>
      <c r="CY73" s="16"/>
      <c r="CZ73" s="17"/>
    </row>
    <row r="74" spans="1:152">
      <c r="A74" s="19"/>
      <c r="B74" s="2"/>
      <c r="C74" s="2"/>
      <c r="D74" s="2"/>
      <c r="E74" s="3"/>
      <c r="F74" s="3"/>
      <c r="G74" s="3"/>
      <c r="H74" s="3"/>
      <c r="I74" s="3"/>
      <c r="J74" s="3"/>
      <c r="K74" s="3"/>
      <c r="L74" s="2"/>
      <c r="M74" s="3"/>
      <c r="N74" s="3"/>
      <c r="O74" s="3"/>
      <c r="P74" s="3"/>
      <c r="Q74" s="3"/>
      <c r="R74" s="3"/>
      <c r="S74" s="3"/>
      <c r="T74" s="3"/>
      <c r="U74" s="3"/>
      <c r="V74" s="3"/>
      <c r="W74" s="213"/>
      <c r="X74" s="212"/>
      <c r="Y74" s="217"/>
      <c r="Z74" s="5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18"/>
      <c r="AQ74" s="6"/>
      <c r="AR74" s="6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18"/>
      <c r="BE74" s="7"/>
      <c r="BF74" s="7"/>
      <c r="BG74" s="3"/>
      <c r="BH74" s="3"/>
      <c r="BI74" s="3"/>
      <c r="BJ74" s="3"/>
      <c r="BK74" s="3"/>
      <c r="BL74" s="3"/>
      <c r="BM74" s="3"/>
      <c r="BN74" s="3"/>
      <c r="BO74" s="8"/>
      <c r="BP74" s="8"/>
      <c r="BQ74" s="3"/>
      <c r="BR74" s="3"/>
      <c r="BS74" s="3"/>
      <c r="BT74" s="3"/>
      <c r="BU74" s="10"/>
      <c r="BV74" s="3"/>
      <c r="BW74" s="3"/>
      <c r="BX74" s="3"/>
      <c r="BY74" s="3"/>
      <c r="BZ74" s="11"/>
      <c r="CA74" s="3"/>
      <c r="CB74" s="3"/>
      <c r="CC74" s="3"/>
      <c r="CD74" s="3"/>
      <c r="CE74" s="12"/>
      <c r="CF74" s="3"/>
      <c r="CG74" s="3"/>
      <c r="CH74" s="3"/>
      <c r="CI74" s="3"/>
      <c r="CJ74" s="13"/>
      <c r="CK74" s="3"/>
      <c r="CL74" s="3"/>
      <c r="CM74" s="3"/>
      <c r="CN74" s="3"/>
      <c r="CO74" s="14"/>
      <c r="CP74" s="3"/>
      <c r="CQ74" s="3"/>
      <c r="CR74" s="3"/>
      <c r="CS74" s="3"/>
      <c r="CT74" s="15"/>
      <c r="CU74" s="16"/>
      <c r="CV74" s="16"/>
      <c r="CW74" s="16"/>
      <c r="CX74" s="15"/>
      <c r="CY74" s="16"/>
      <c r="CZ74" s="17"/>
    </row>
    <row r="75" spans="1:152">
      <c r="A75" s="19"/>
      <c r="B75" s="2"/>
      <c r="C75" s="2"/>
      <c r="D75" s="2"/>
      <c r="E75" s="3"/>
      <c r="F75" s="3"/>
      <c r="G75" s="3"/>
      <c r="H75" s="3"/>
      <c r="I75" s="3"/>
      <c r="J75" s="3"/>
      <c r="K75" s="3"/>
      <c r="L75" s="2"/>
      <c r="M75" s="3"/>
      <c r="N75" s="3"/>
      <c r="O75" s="3"/>
      <c r="P75" s="3"/>
      <c r="Q75" s="3"/>
      <c r="R75" s="3"/>
      <c r="S75" s="3"/>
      <c r="T75" s="3"/>
      <c r="U75" s="3"/>
      <c r="V75" s="3"/>
      <c r="W75" s="213"/>
      <c r="X75" s="212"/>
      <c r="Y75" s="217"/>
      <c r="Z75" s="5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18"/>
      <c r="AQ75" s="6"/>
      <c r="AR75" s="6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18"/>
      <c r="BE75" s="7"/>
      <c r="BF75" s="7"/>
      <c r="BG75" s="3"/>
      <c r="BH75" s="3"/>
      <c r="BI75" s="3"/>
      <c r="BJ75" s="3"/>
      <c r="BK75" s="3"/>
      <c r="BL75" s="3"/>
      <c r="BM75" s="3"/>
      <c r="BN75" s="3"/>
      <c r="BO75" s="8"/>
      <c r="BP75" s="8"/>
      <c r="BQ75" s="3"/>
      <c r="BR75" s="3"/>
      <c r="BS75" s="3"/>
      <c r="BT75" s="3"/>
      <c r="BU75" s="10"/>
      <c r="BV75" s="3"/>
      <c r="BW75" s="3"/>
      <c r="BX75" s="3"/>
      <c r="BY75" s="3"/>
      <c r="BZ75" s="11"/>
      <c r="CA75" s="3"/>
      <c r="CB75" s="3"/>
      <c r="CC75" s="3"/>
      <c r="CD75" s="3"/>
      <c r="CE75" s="12"/>
      <c r="CF75" s="3"/>
      <c r="CG75" s="3"/>
      <c r="CH75" s="3"/>
      <c r="CI75" s="3"/>
      <c r="CJ75" s="13"/>
      <c r="CK75" s="3"/>
      <c r="CL75" s="3"/>
      <c r="CM75" s="3"/>
      <c r="CN75" s="3"/>
      <c r="CO75" s="14"/>
      <c r="CP75" s="3"/>
      <c r="CQ75" s="3"/>
      <c r="CR75" s="3"/>
      <c r="CS75" s="3"/>
      <c r="CT75" s="15"/>
      <c r="CU75" s="16"/>
      <c r="CV75" s="16"/>
      <c r="CW75" s="16"/>
      <c r="CX75" s="15"/>
      <c r="CY75" s="16"/>
      <c r="CZ75" s="17"/>
    </row>
    <row r="76" spans="1:152">
      <c r="A76" s="19"/>
      <c r="B76" s="2"/>
      <c r="C76" s="2"/>
      <c r="D76" s="2"/>
      <c r="E76" s="3"/>
      <c r="F76" s="3"/>
      <c r="G76" s="3"/>
      <c r="H76" s="3"/>
      <c r="I76" s="3"/>
      <c r="J76" s="3"/>
      <c r="K76" s="3"/>
      <c r="L76" s="2"/>
      <c r="M76" s="3"/>
      <c r="N76" s="3"/>
      <c r="O76" s="3"/>
      <c r="P76" s="3"/>
      <c r="Q76" s="3"/>
      <c r="R76" s="3"/>
      <c r="S76" s="3"/>
      <c r="T76" s="3"/>
      <c r="U76" s="3"/>
      <c r="V76" s="3"/>
      <c r="W76" s="213"/>
      <c r="X76" s="212"/>
      <c r="Y76" s="217"/>
      <c r="Z76" s="5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18"/>
      <c r="AQ76" s="6"/>
      <c r="AR76" s="6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18"/>
      <c r="BE76" s="7"/>
      <c r="BF76" s="7"/>
      <c r="BG76" s="3"/>
      <c r="BH76" s="3"/>
      <c r="BI76" s="3"/>
      <c r="BJ76" s="3"/>
      <c r="BK76" s="3"/>
      <c r="BL76" s="3"/>
      <c r="BM76" s="3"/>
      <c r="BN76" s="3"/>
      <c r="BO76" s="8"/>
      <c r="BP76" s="8"/>
      <c r="BQ76" s="3"/>
      <c r="BR76" s="3"/>
      <c r="BS76" s="3"/>
      <c r="BT76" s="3"/>
      <c r="BU76" s="10"/>
      <c r="BV76" s="3"/>
      <c r="BW76" s="3"/>
      <c r="BX76" s="3"/>
      <c r="BY76" s="3"/>
      <c r="BZ76" s="11"/>
      <c r="CA76" s="3"/>
      <c r="CB76" s="3"/>
      <c r="CC76" s="3"/>
      <c r="CD76" s="3"/>
      <c r="CE76" s="12"/>
      <c r="CF76" s="3"/>
      <c r="CG76" s="3"/>
      <c r="CH76" s="3"/>
      <c r="CI76" s="3"/>
      <c r="CJ76" s="13"/>
      <c r="CK76" s="3"/>
      <c r="CL76" s="3"/>
      <c r="CM76" s="3"/>
      <c r="CN76" s="3"/>
      <c r="CO76" s="14"/>
      <c r="CP76" s="3"/>
      <c r="CQ76" s="3"/>
      <c r="CR76" s="3"/>
      <c r="CS76" s="3"/>
      <c r="CT76" s="15"/>
      <c r="CU76" s="16"/>
      <c r="CV76" s="16"/>
      <c r="CW76" s="16"/>
      <c r="CX76" s="15"/>
      <c r="CY76" s="16"/>
      <c r="CZ76" s="17"/>
    </row>
    <row r="77" spans="1:152">
      <c r="A77" s="19"/>
      <c r="B77" s="2"/>
      <c r="C77" s="2"/>
      <c r="D77" s="2"/>
      <c r="E77" s="3"/>
      <c r="F77" s="3"/>
      <c r="G77" s="3"/>
      <c r="H77" s="3"/>
      <c r="I77" s="3"/>
      <c r="J77" s="3"/>
      <c r="K77" s="3"/>
      <c r="L77" s="2"/>
      <c r="M77" s="3"/>
      <c r="N77" s="3"/>
      <c r="O77" s="3"/>
      <c r="P77" s="3"/>
      <c r="Q77" s="3"/>
      <c r="R77" s="3"/>
      <c r="S77" s="3"/>
      <c r="T77" s="3"/>
      <c r="U77" s="3"/>
      <c r="V77" s="3"/>
      <c r="W77" s="213"/>
      <c r="X77" s="212"/>
      <c r="Y77" s="217"/>
      <c r="Z77" s="5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18"/>
      <c r="AQ77" s="6"/>
      <c r="AR77" s="6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18"/>
      <c r="BE77" s="7"/>
      <c r="BF77" s="7"/>
      <c r="BG77" s="3"/>
      <c r="BH77" s="3"/>
      <c r="BI77" s="3"/>
      <c r="BJ77" s="3"/>
      <c r="BK77" s="3"/>
      <c r="BL77" s="3"/>
      <c r="BM77" s="3"/>
      <c r="BN77" s="3"/>
      <c r="BO77" s="8"/>
      <c r="BP77" s="8"/>
      <c r="BQ77" s="3"/>
      <c r="BR77" s="3"/>
      <c r="BS77" s="3"/>
      <c r="BT77" s="3"/>
      <c r="BU77" s="10"/>
      <c r="BV77" s="3"/>
      <c r="BW77" s="3"/>
      <c r="BX77" s="3"/>
      <c r="BY77" s="3"/>
      <c r="BZ77" s="11"/>
      <c r="CA77" s="3"/>
      <c r="CB77" s="3"/>
      <c r="CC77" s="3"/>
      <c r="CD77" s="3"/>
      <c r="CE77" s="12"/>
      <c r="CF77" s="3"/>
      <c r="CG77" s="3"/>
      <c r="CH77" s="3"/>
      <c r="CI77" s="3"/>
      <c r="CJ77" s="13"/>
      <c r="CK77" s="3"/>
      <c r="CL77" s="3"/>
      <c r="CM77" s="3"/>
      <c r="CN77" s="3"/>
      <c r="CO77" s="14"/>
      <c r="CP77" s="3"/>
      <c r="CQ77" s="3"/>
      <c r="CR77" s="3"/>
      <c r="CS77" s="3"/>
      <c r="CT77" s="15"/>
      <c r="CU77" s="16"/>
      <c r="CV77" s="16"/>
      <c r="CW77" s="16"/>
      <c r="CX77" s="15"/>
      <c r="CY77" s="16"/>
      <c r="CZ77" s="17"/>
    </row>
    <row r="78" spans="1:152">
      <c r="A78" s="19"/>
      <c r="B78" s="2"/>
      <c r="C78" s="2"/>
      <c r="D78" s="2"/>
      <c r="E78" s="3"/>
      <c r="F78" s="3"/>
      <c r="G78" s="3"/>
      <c r="H78" s="3"/>
      <c r="I78" s="3"/>
      <c r="J78" s="3"/>
      <c r="K78" s="3"/>
      <c r="L78" s="2"/>
      <c r="M78" s="3"/>
      <c r="N78" s="3"/>
      <c r="O78" s="3"/>
      <c r="P78" s="3"/>
      <c r="Q78" s="3"/>
      <c r="R78" s="3"/>
      <c r="S78" s="3"/>
      <c r="T78" s="3"/>
      <c r="U78" s="3"/>
      <c r="V78" s="3"/>
      <c r="W78" s="213"/>
      <c r="X78" s="212"/>
      <c r="Y78" s="217"/>
      <c r="Z78" s="5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18"/>
      <c r="AQ78" s="6"/>
      <c r="AR78" s="6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18"/>
      <c r="BE78" s="7"/>
      <c r="BF78" s="7"/>
      <c r="BG78" s="3"/>
      <c r="BH78" s="3"/>
      <c r="BI78" s="3"/>
      <c r="BJ78" s="3"/>
      <c r="BK78" s="3"/>
      <c r="BL78" s="3"/>
      <c r="BM78" s="3"/>
      <c r="BN78" s="3"/>
      <c r="BO78" s="8"/>
      <c r="BP78" s="8"/>
      <c r="BQ78" s="3"/>
      <c r="BR78" s="3"/>
      <c r="BS78" s="3"/>
      <c r="BT78" s="3"/>
      <c r="BU78" s="10"/>
      <c r="BV78" s="3"/>
      <c r="BW78" s="3"/>
      <c r="BX78" s="3"/>
      <c r="BY78" s="3"/>
      <c r="BZ78" s="11"/>
      <c r="CA78" s="3"/>
      <c r="CB78" s="3"/>
      <c r="CC78" s="3"/>
      <c r="CD78" s="3"/>
      <c r="CE78" s="12"/>
      <c r="CF78" s="3"/>
      <c r="CG78" s="3"/>
      <c r="CH78" s="3"/>
      <c r="CI78" s="3"/>
      <c r="CJ78" s="13"/>
      <c r="CK78" s="3"/>
      <c r="CL78" s="3"/>
      <c r="CM78" s="3"/>
      <c r="CN78" s="3"/>
      <c r="CO78" s="14"/>
      <c r="CP78" s="3"/>
      <c r="CQ78" s="3"/>
      <c r="CR78" s="3"/>
      <c r="CS78" s="3"/>
      <c r="CT78" s="15"/>
      <c r="CU78" s="16"/>
      <c r="CV78" s="16"/>
      <c r="CW78" s="16"/>
      <c r="CX78" s="15"/>
      <c r="CY78" s="16"/>
      <c r="CZ78" s="17"/>
    </row>
    <row r="79" spans="1:152">
      <c r="A79" s="19"/>
      <c r="B79" s="2"/>
      <c r="C79" s="2"/>
      <c r="D79" s="2"/>
      <c r="E79" s="3"/>
      <c r="F79" s="3"/>
      <c r="G79" s="3"/>
      <c r="H79" s="3"/>
      <c r="I79" s="3"/>
      <c r="J79" s="3"/>
      <c r="K79" s="3"/>
      <c r="L79" s="2"/>
      <c r="M79" s="3"/>
      <c r="N79" s="3"/>
      <c r="O79" s="3"/>
      <c r="P79" s="3"/>
      <c r="Q79" s="3"/>
      <c r="R79" s="3"/>
      <c r="S79" s="3"/>
      <c r="T79" s="3"/>
      <c r="U79" s="3"/>
      <c r="V79" s="3"/>
      <c r="W79" s="213"/>
      <c r="X79" s="212"/>
      <c r="Y79" s="217"/>
      <c r="Z79" s="5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18"/>
      <c r="AQ79" s="6"/>
      <c r="AR79" s="6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18"/>
      <c r="BE79" s="7"/>
      <c r="BF79" s="7"/>
      <c r="BG79" s="3"/>
      <c r="BH79" s="3"/>
      <c r="BI79" s="3"/>
      <c r="BJ79" s="3"/>
      <c r="BK79" s="3"/>
      <c r="BL79" s="3"/>
      <c r="BM79" s="3"/>
      <c r="BN79" s="3"/>
      <c r="BO79" s="8"/>
      <c r="BP79" s="8"/>
      <c r="BQ79" s="3"/>
      <c r="BR79" s="3"/>
      <c r="BS79" s="3"/>
      <c r="BT79" s="3"/>
      <c r="BU79" s="10"/>
      <c r="BV79" s="3"/>
      <c r="BW79" s="3"/>
      <c r="BX79" s="3"/>
      <c r="BY79" s="3"/>
      <c r="BZ79" s="11"/>
      <c r="CA79" s="3"/>
      <c r="CB79" s="3"/>
      <c r="CC79" s="3"/>
      <c r="CD79" s="3"/>
      <c r="CE79" s="12"/>
      <c r="CF79" s="3"/>
      <c r="CG79" s="3"/>
      <c r="CH79" s="3"/>
      <c r="CI79" s="3"/>
      <c r="CJ79" s="13"/>
      <c r="CK79" s="3"/>
      <c r="CL79" s="3"/>
      <c r="CM79" s="3"/>
      <c r="CN79" s="3"/>
      <c r="CO79" s="14"/>
      <c r="CP79" s="3"/>
      <c r="CQ79" s="3"/>
      <c r="CR79" s="3"/>
      <c r="CS79" s="3"/>
      <c r="CT79" s="15"/>
      <c r="CU79" s="16"/>
      <c r="CV79" s="16"/>
      <c r="CW79" s="16"/>
      <c r="CX79" s="15"/>
      <c r="CY79" s="16"/>
      <c r="CZ79" s="17"/>
    </row>
    <row r="80" spans="1:152">
      <c r="A80" s="19"/>
      <c r="B80" s="2"/>
      <c r="C80" s="2"/>
      <c r="D80" s="2"/>
      <c r="E80" s="3"/>
      <c r="F80" s="3"/>
      <c r="G80" s="3"/>
      <c r="H80" s="3"/>
      <c r="I80" s="3"/>
      <c r="J80" s="3"/>
      <c r="K80" s="3"/>
      <c r="L80" s="2"/>
      <c r="M80" s="3"/>
      <c r="N80" s="3"/>
      <c r="O80" s="3"/>
      <c r="P80" s="3"/>
      <c r="Q80" s="3"/>
      <c r="R80" s="3"/>
      <c r="S80" s="3"/>
      <c r="T80" s="3"/>
      <c r="U80" s="3"/>
      <c r="V80" s="3"/>
      <c r="W80" s="213"/>
      <c r="X80" s="212"/>
      <c r="Y80" s="217"/>
      <c r="Z80" s="5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18"/>
      <c r="AQ80" s="6"/>
      <c r="AR80" s="6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18"/>
      <c r="BE80" s="7"/>
      <c r="BF80" s="7"/>
      <c r="BG80" s="3"/>
      <c r="BH80" s="3"/>
      <c r="BI80" s="3"/>
      <c r="BJ80" s="3"/>
      <c r="BK80" s="3"/>
      <c r="BL80" s="3"/>
      <c r="BM80" s="3"/>
      <c r="BN80" s="3"/>
      <c r="BO80" s="8"/>
      <c r="BP80" s="8"/>
      <c r="BQ80" s="3"/>
      <c r="BR80" s="3"/>
      <c r="BS80" s="3"/>
      <c r="BT80" s="3"/>
      <c r="BU80" s="10"/>
      <c r="BV80" s="3"/>
      <c r="BW80" s="3"/>
      <c r="BX80" s="3"/>
      <c r="BY80" s="3"/>
      <c r="BZ80" s="11"/>
      <c r="CA80" s="3"/>
      <c r="CB80" s="3"/>
      <c r="CC80" s="3"/>
      <c r="CD80" s="3"/>
      <c r="CE80" s="12"/>
      <c r="CF80" s="3"/>
      <c r="CG80" s="3"/>
      <c r="CH80" s="3"/>
      <c r="CI80" s="3"/>
      <c r="CJ80" s="13"/>
      <c r="CK80" s="3"/>
      <c r="CL80" s="3"/>
      <c r="CM80" s="3"/>
      <c r="CN80" s="3"/>
      <c r="CO80" s="14"/>
      <c r="CP80" s="3"/>
      <c r="CQ80" s="3"/>
      <c r="CR80" s="3"/>
      <c r="CS80" s="3"/>
      <c r="CT80" s="15"/>
      <c r="CU80" s="16"/>
      <c r="CV80" s="16"/>
      <c r="CW80" s="16"/>
      <c r="CX80" s="15"/>
      <c r="CY80" s="16"/>
      <c r="CZ80" s="17"/>
    </row>
    <row r="81" spans="1:104">
      <c r="A81" s="19"/>
      <c r="B81" s="2"/>
      <c r="C81" s="2"/>
      <c r="D81" s="2"/>
      <c r="E81" s="3"/>
      <c r="F81" s="3"/>
      <c r="G81" s="3"/>
      <c r="H81" s="3"/>
      <c r="I81" s="3"/>
      <c r="J81" s="3"/>
      <c r="K81" s="3"/>
      <c r="L81" s="2"/>
      <c r="M81" s="3"/>
      <c r="N81" s="3"/>
      <c r="O81" s="3"/>
      <c r="P81" s="3"/>
      <c r="Q81" s="3"/>
      <c r="R81" s="3"/>
      <c r="S81" s="3"/>
      <c r="T81" s="3"/>
      <c r="U81" s="3"/>
      <c r="V81" s="3"/>
      <c r="W81" s="213"/>
      <c r="X81" s="212"/>
      <c r="Y81" s="217"/>
      <c r="Z81" s="5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18"/>
      <c r="AQ81" s="6"/>
      <c r="AR81" s="6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18"/>
      <c r="BE81" s="7"/>
      <c r="BF81" s="7"/>
      <c r="BG81" s="3"/>
      <c r="BH81" s="3"/>
      <c r="BI81" s="3"/>
      <c r="BJ81" s="3"/>
      <c r="BK81" s="3"/>
      <c r="BL81" s="3"/>
      <c r="BM81" s="3"/>
      <c r="BN81" s="3"/>
      <c r="BO81" s="8"/>
      <c r="BP81" s="8"/>
      <c r="BQ81" s="3"/>
      <c r="BR81" s="3"/>
      <c r="BS81" s="3"/>
      <c r="BT81" s="3"/>
      <c r="BU81" s="10"/>
      <c r="BV81" s="3"/>
      <c r="BW81" s="3"/>
      <c r="BX81" s="3"/>
      <c r="BY81" s="3"/>
      <c r="BZ81" s="11"/>
      <c r="CA81" s="3"/>
      <c r="CB81" s="3"/>
      <c r="CC81" s="3"/>
      <c r="CD81" s="3"/>
      <c r="CE81" s="12"/>
      <c r="CF81" s="3"/>
      <c r="CG81" s="3"/>
      <c r="CH81" s="3"/>
      <c r="CI81" s="3"/>
      <c r="CJ81" s="13"/>
      <c r="CK81" s="3"/>
      <c r="CL81" s="3"/>
      <c r="CM81" s="3"/>
      <c r="CN81" s="3"/>
      <c r="CO81" s="14"/>
      <c r="CP81" s="3"/>
      <c r="CQ81" s="3"/>
      <c r="CR81" s="3"/>
      <c r="CS81" s="3"/>
      <c r="CT81" s="15"/>
      <c r="CU81" s="16"/>
      <c r="CV81" s="16"/>
      <c r="CW81" s="16"/>
      <c r="CX81" s="15"/>
      <c r="CY81" s="16"/>
      <c r="CZ81" s="17"/>
    </row>
    <row r="82" spans="1:104">
      <c r="A82" s="19"/>
      <c r="B82" s="2"/>
      <c r="C82" s="2"/>
      <c r="D82" s="2"/>
      <c r="E82" s="3"/>
      <c r="F82" s="3"/>
      <c r="G82" s="3"/>
      <c r="H82" s="3"/>
      <c r="I82" s="3"/>
      <c r="J82" s="3"/>
      <c r="K82" s="3"/>
      <c r="L82" s="2"/>
      <c r="M82" s="3"/>
      <c r="N82" s="3"/>
      <c r="O82" s="3"/>
      <c r="P82" s="3"/>
      <c r="Q82" s="3"/>
      <c r="R82" s="3"/>
      <c r="S82" s="3"/>
      <c r="T82" s="3"/>
      <c r="U82" s="3"/>
      <c r="V82" s="3"/>
      <c r="W82" s="213"/>
      <c r="X82" s="212"/>
      <c r="Y82" s="217"/>
      <c r="Z82" s="5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18"/>
      <c r="AQ82" s="6"/>
      <c r="AR82" s="6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18"/>
      <c r="BE82" s="7"/>
      <c r="BF82" s="7"/>
      <c r="BG82" s="3"/>
      <c r="BH82" s="3"/>
      <c r="BI82" s="3"/>
      <c r="BJ82" s="3"/>
      <c r="BK82" s="3"/>
      <c r="BL82" s="3"/>
      <c r="BM82" s="3"/>
      <c r="BN82" s="3"/>
      <c r="BO82" s="8"/>
      <c r="BP82" s="8"/>
      <c r="BQ82" s="3"/>
      <c r="BR82" s="3"/>
      <c r="BS82" s="3"/>
      <c r="BT82" s="3"/>
      <c r="BU82" s="10"/>
      <c r="BV82" s="3"/>
      <c r="BW82" s="3"/>
      <c r="BX82" s="3"/>
      <c r="BY82" s="3"/>
      <c r="BZ82" s="11"/>
      <c r="CA82" s="3"/>
      <c r="CB82" s="3"/>
      <c r="CC82" s="3"/>
      <c r="CD82" s="3"/>
      <c r="CE82" s="12"/>
      <c r="CF82" s="3"/>
      <c r="CG82" s="3"/>
      <c r="CH82" s="3"/>
      <c r="CI82" s="3"/>
      <c r="CJ82" s="13"/>
      <c r="CK82" s="3"/>
      <c r="CL82" s="3"/>
      <c r="CM82" s="3"/>
      <c r="CN82" s="3"/>
      <c r="CO82" s="14"/>
      <c r="CP82" s="3"/>
      <c r="CQ82" s="3"/>
      <c r="CR82" s="3"/>
      <c r="CS82" s="3"/>
      <c r="CT82" s="15"/>
      <c r="CU82" s="16"/>
      <c r="CV82" s="16"/>
      <c r="CW82" s="16"/>
      <c r="CX82" s="15"/>
      <c r="CY82" s="16"/>
      <c r="CZ82" s="17"/>
    </row>
    <row r="83" spans="1:104">
      <c r="A83" s="19"/>
      <c r="B83" s="2"/>
      <c r="C83" s="2"/>
      <c r="D83" s="2"/>
      <c r="E83" s="3"/>
      <c r="F83" s="3"/>
      <c r="G83" s="3"/>
      <c r="H83" s="3"/>
      <c r="I83" s="3"/>
      <c r="J83" s="3"/>
      <c r="K83" s="3"/>
      <c r="L83" s="2"/>
      <c r="M83" s="3"/>
      <c r="N83" s="3"/>
      <c r="O83" s="3"/>
      <c r="P83" s="3"/>
      <c r="Q83" s="3"/>
      <c r="R83" s="3"/>
      <c r="S83" s="3"/>
      <c r="T83" s="3"/>
      <c r="U83" s="3"/>
      <c r="V83" s="3"/>
      <c r="W83" s="213"/>
      <c r="X83" s="212"/>
      <c r="Y83" s="217"/>
      <c r="Z83" s="5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18"/>
      <c r="AQ83" s="6"/>
      <c r="AR83" s="6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18"/>
      <c r="BE83" s="7"/>
      <c r="BF83" s="7"/>
      <c r="BG83" s="3"/>
      <c r="BH83" s="3"/>
      <c r="BI83" s="3"/>
      <c r="BJ83" s="3"/>
      <c r="BK83" s="3"/>
      <c r="BL83" s="3"/>
      <c r="BM83" s="3"/>
      <c r="BN83" s="3"/>
      <c r="BO83" s="8"/>
      <c r="BP83" s="8"/>
      <c r="BQ83" s="3"/>
      <c r="BR83" s="3"/>
      <c r="BS83" s="3"/>
      <c r="BT83" s="3"/>
      <c r="BU83" s="10"/>
      <c r="BV83" s="3"/>
      <c r="BW83" s="3"/>
      <c r="BX83" s="3"/>
      <c r="BY83" s="3"/>
      <c r="BZ83" s="11"/>
      <c r="CA83" s="3"/>
      <c r="CB83" s="3"/>
      <c r="CC83" s="3"/>
      <c r="CD83" s="3"/>
      <c r="CE83" s="12"/>
      <c r="CF83" s="3"/>
      <c r="CG83" s="3"/>
      <c r="CH83" s="3"/>
      <c r="CI83" s="3"/>
      <c r="CJ83" s="13"/>
      <c r="CK83" s="3"/>
      <c r="CL83" s="3"/>
      <c r="CM83" s="3"/>
      <c r="CN83" s="3"/>
      <c r="CO83" s="14"/>
      <c r="CP83" s="3"/>
      <c r="CQ83" s="3"/>
      <c r="CR83" s="3"/>
      <c r="CS83" s="3"/>
      <c r="CT83" s="15"/>
      <c r="CU83" s="16"/>
      <c r="CV83" s="16"/>
      <c r="CW83" s="16"/>
      <c r="CX83" s="15"/>
      <c r="CY83" s="16"/>
      <c r="CZ83" s="17"/>
    </row>
    <row r="84" spans="1:104">
      <c r="A84" s="19"/>
      <c r="B84" s="2"/>
      <c r="C84" s="2"/>
      <c r="D84" s="2"/>
      <c r="E84" s="3"/>
      <c r="F84" s="3"/>
      <c r="G84" s="3"/>
      <c r="H84" s="3"/>
      <c r="I84" s="3"/>
      <c r="J84" s="3"/>
      <c r="K84" s="3"/>
      <c r="L84" s="2"/>
      <c r="M84" s="3"/>
      <c r="N84" s="3"/>
      <c r="O84" s="3"/>
      <c r="P84" s="3"/>
      <c r="Q84" s="3"/>
      <c r="R84" s="3"/>
      <c r="S84" s="3"/>
      <c r="T84" s="3"/>
      <c r="U84" s="3"/>
      <c r="V84" s="3"/>
      <c r="W84" s="213"/>
      <c r="X84" s="212"/>
      <c r="Y84" s="217"/>
      <c r="Z84" s="5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18"/>
      <c r="AQ84" s="6"/>
      <c r="AR84" s="6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18"/>
      <c r="BE84" s="7"/>
      <c r="BF84" s="7"/>
      <c r="BG84" s="3"/>
      <c r="BH84" s="3"/>
      <c r="BI84" s="3"/>
      <c r="BJ84" s="3"/>
      <c r="BK84" s="3"/>
      <c r="BL84" s="3"/>
      <c r="BM84" s="3"/>
      <c r="BN84" s="3"/>
      <c r="BO84" s="8"/>
      <c r="BP84" s="8"/>
      <c r="BQ84" s="3"/>
      <c r="BR84" s="3"/>
      <c r="BS84" s="3"/>
      <c r="BT84" s="3"/>
      <c r="BU84" s="10"/>
      <c r="BV84" s="3"/>
      <c r="BW84" s="3"/>
      <c r="BX84" s="3"/>
      <c r="BY84" s="3"/>
      <c r="BZ84" s="11"/>
      <c r="CA84" s="3"/>
      <c r="CB84" s="3"/>
      <c r="CC84" s="3"/>
      <c r="CD84" s="3"/>
      <c r="CE84" s="12"/>
      <c r="CF84" s="3"/>
      <c r="CG84" s="3"/>
      <c r="CH84" s="3"/>
      <c r="CI84" s="3"/>
      <c r="CJ84" s="13"/>
      <c r="CK84" s="3"/>
      <c r="CL84" s="3"/>
      <c r="CM84" s="3"/>
      <c r="CN84" s="3"/>
      <c r="CO84" s="14"/>
      <c r="CP84" s="3"/>
      <c r="CQ84" s="3"/>
      <c r="CR84" s="3"/>
      <c r="CS84" s="3"/>
      <c r="CT84" s="15"/>
      <c r="CU84" s="16"/>
      <c r="CV84" s="16"/>
      <c r="CW84" s="16"/>
      <c r="CX84" s="15"/>
      <c r="CY84" s="16"/>
      <c r="CZ84" s="17"/>
    </row>
    <row r="85" spans="1:104">
      <c r="A85" s="19"/>
      <c r="B85" s="2"/>
      <c r="C85" s="2"/>
      <c r="D85" s="2"/>
      <c r="E85" s="3"/>
      <c r="F85" s="3"/>
      <c r="G85" s="3"/>
      <c r="H85" s="3"/>
      <c r="I85" s="3"/>
      <c r="J85" s="3"/>
      <c r="K85" s="3"/>
      <c r="L85" s="2"/>
      <c r="M85" s="3"/>
      <c r="N85" s="3"/>
      <c r="O85" s="3"/>
      <c r="P85" s="3"/>
      <c r="Q85" s="3"/>
      <c r="R85" s="3"/>
      <c r="S85" s="3"/>
      <c r="T85" s="3"/>
      <c r="U85" s="3"/>
      <c r="V85" s="3"/>
      <c r="W85" s="213"/>
      <c r="X85" s="212"/>
      <c r="Y85" s="217"/>
      <c r="Z85" s="5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18"/>
      <c r="AQ85" s="6"/>
      <c r="AR85" s="6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18"/>
      <c r="BE85" s="7"/>
      <c r="BF85" s="7"/>
      <c r="BG85" s="3"/>
      <c r="BH85" s="3"/>
      <c r="BI85" s="3"/>
      <c r="BJ85" s="3"/>
      <c r="BK85" s="3"/>
      <c r="BL85" s="3"/>
      <c r="BM85" s="3"/>
      <c r="BN85" s="3"/>
      <c r="BO85" s="8"/>
      <c r="BP85" s="8"/>
      <c r="BQ85" s="3"/>
      <c r="BR85" s="3"/>
      <c r="BS85" s="3"/>
      <c r="BT85" s="3"/>
      <c r="BU85" s="10"/>
      <c r="BV85" s="3"/>
      <c r="BW85" s="3"/>
      <c r="BX85" s="3"/>
      <c r="BY85" s="3"/>
      <c r="BZ85" s="11"/>
      <c r="CA85" s="3"/>
      <c r="CB85" s="3"/>
      <c r="CC85" s="3"/>
      <c r="CD85" s="3"/>
      <c r="CE85" s="12"/>
      <c r="CF85" s="3"/>
      <c r="CG85" s="3"/>
      <c r="CH85" s="3"/>
      <c r="CI85" s="3"/>
      <c r="CJ85" s="13"/>
      <c r="CK85" s="3"/>
      <c r="CL85" s="3"/>
      <c r="CM85" s="3"/>
      <c r="CN85" s="3"/>
      <c r="CO85" s="14"/>
      <c r="CP85" s="3"/>
      <c r="CQ85" s="3"/>
      <c r="CR85" s="3"/>
      <c r="CS85" s="3"/>
      <c r="CT85" s="15"/>
      <c r="CU85" s="16"/>
      <c r="CV85" s="16"/>
      <c r="CW85" s="16"/>
      <c r="CX85" s="15"/>
      <c r="CY85" s="16"/>
      <c r="CZ85" s="17"/>
    </row>
    <row r="86" spans="1:104">
      <c r="A86" s="19"/>
      <c r="B86" s="2"/>
      <c r="C86" s="2"/>
      <c r="D86" s="2"/>
      <c r="E86" s="3"/>
      <c r="F86" s="3"/>
      <c r="G86" s="3"/>
      <c r="H86" s="3"/>
      <c r="I86" s="3"/>
      <c r="J86" s="3"/>
      <c r="K86" s="3"/>
      <c r="L86" s="2"/>
      <c r="M86" s="3"/>
      <c r="N86" s="3"/>
      <c r="O86" s="3"/>
      <c r="P86" s="3"/>
      <c r="Q86" s="3"/>
      <c r="R86" s="3"/>
      <c r="S86" s="3"/>
      <c r="T86" s="3"/>
      <c r="U86" s="3"/>
      <c r="V86" s="3"/>
      <c r="W86" s="213"/>
      <c r="X86" s="212"/>
      <c r="Y86" s="217"/>
      <c r="Z86" s="5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18"/>
      <c r="AQ86" s="6"/>
      <c r="AR86" s="6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18"/>
      <c r="BE86" s="7"/>
      <c r="BF86" s="7"/>
      <c r="BG86" s="3"/>
      <c r="BH86" s="3"/>
      <c r="BI86" s="3"/>
      <c r="BJ86" s="3"/>
      <c r="BK86" s="3"/>
      <c r="BL86" s="3"/>
      <c r="BM86" s="3"/>
      <c r="BN86" s="3"/>
      <c r="BO86" s="8"/>
      <c r="BP86" s="8"/>
      <c r="BQ86" s="3"/>
      <c r="BR86" s="3"/>
      <c r="BS86" s="3"/>
      <c r="BT86" s="3"/>
      <c r="BU86" s="10"/>
      <c r="BV86" s="3"/>
      <c r="BW86" s="3"/>
      <c r="BX86" s="3"/>
      <c r="BY86" s="3"/>
      <c r="BZ86" s="11"/>
      <c r="CA86" s="3"/>
      <c r="CB86" s="3"/>
      <c r="CC86" s="3"/>
      <c r="CD86" s="3"/>
      <c r="CE86" s="12"/>
      <c r="CF86" s="3"/>
      <c r="CG86" s="3"/>
      <c r="CH86" s="3"/>
      <c r="CI86" s="3"/>
      <c r="CJ86" s="13"/>
      <c r="CK86" s="3"/>
      <c r="CL86" s="3"/>
      <c r="CM86" s="3"/>
      <c r="CN86" s="3"/>
      <c r="CO86" s="14"/>
      <c r="CP86" s="3"/>
      <c r="CQ86" s="3"/>
      <c r="CR86" s="3"/>
      <c r="CS86" s="3"/>
      <c r="CT86" s="15"/>
      <c r="CU86" s="16"/>
      <c r="CV86" s="16"/>
      <c r="CW86" s="16"/>
      <c r="CX86" s="15"/>
      <c r="CY86" s="16"/>
      <c r="CZ86" s="17"/>
    </row>
    <row r="87" spans="1:104">
      <c r="A87" s="19"/>
      <c r="B87" s="2"/>
      <c r="C87" s="2"/>
      <c r="D87" s="2"/>
      <c r="E87" s="3"/>
      <c r="F87" s="3"/>
      <c r="G87" s="3"/>
      <c r="H87" s="3"/>
      <c r="I87" s="3"/>
      <c r="J87" s="3"/>
      <c r="K87" s="3"/>
      <c r="L87" s="2"/>
      <c r="M87" s="3"/>
      <c r="N87" s="3"/>
      <c r="O87" s="3"/>
      <c r="P87" s="3"/>
      <c r="Q87" s="3"/>
      <c r="R87" s="3"/>
      <c r="S87" s="3"/>
      <c r="T87" s="3"/>
      <c r="U87" s="3"/>
      <c r="V87" s="3"/>
      <c r="W87" s="213"/>
      <c r="X87" s="212"/>
      <c r="Y87" s="217"/>
      <c r="Z87" s="5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18"/>
      <c r="AQ87" s="6"/>
      <c r="AR87" s="6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18"/>
      <c r="BE87" s="7"/>
      <c r="BF87" s="7"/>
      <c r="BG87" s="3"/>
      <c r="BH87" s="3"/>
      <c r="BI87" s="3"/>
      <c r="BJ87" s="3"/>
      <c r="BK87" s="3"/>
      <c r="BL87" s="3"/>
      <c r="BM87" s="3"/>
      <c r="BN87" s="3"/>
      <c r="BO87" s="8"/>
      <c r="BP87" s="8"/>
      <c r="BQ87" s="3"/>
      <c r="BR87" s="3"/>
      <c r="BS87" s="3"/>
      <c r="BT87" s="3"/>
      <c r="BU87" s="10"/>
      <c r="BV87" s="3"/>
      <c r="BW87" s="3"/>
      <c r="BX87" s="3"/>
      <c r="BY87" s="3"/>
      <c r="BZ87" s="11"/>
      <c r="CA87" s="3"/>
      <c r="CB87" s="3"/>
      <c r="CC87" s="3"/>
      <c r="CD87" s="3"/>
      <c r="CE87" s="12"/>
      <c r="CF87" s="3"/>
      <c r="CG87" s="3"/>
      <c r="CH87" s="3"/>
      <c r="CI87" s="3"/>
      <c r="CJ87" s="13"/>
      <c r="CK87" s="3"/>
      <c r="CL87" s="3"/>
      <c r="CM87" s="3"/>
      <c r="CN87" s="3"/>
      <c r="CO87" s="14"/>
      <c r="CP87" s="3"/>
      <c r="CQ87" s="3"/>
      <c r="CR87" s="3"/>
      <c r="CS87" s="3"/>
      <c r="CT87" s="15"/>
      <c r="CU87" s="16"/>
      <c r="CV87" s="16"/>
      <c r="CW87" s="16"/>
      <c r="CX87" s="15"/>
      <c r="CY87" s="16"/>
      <c r="CZ87" s="17"/>
    </row>
    <row r="88" spans="1:104">
      <c r="A88" s="19"/>
      <c r="B88" s="2"/>
      <c r="C88" s="2"/>
      <c r="D88" s="2"/>
      <c r="E88" s="3"/>
      <c r="F88" s="3"/>
      <c r="G88" s="3"/>
      <c r="H88" s="3"/>
      <c r="I88" s="3"/>
      <c r="J88" s="3"/>
      <c r="K88" s="3"/>
      <c r="L88" s="2"/>
      <c r="M88" s="3"/>
      <c r="N88" s="3"/>
      <c r="O88" s="3"/>
      <c r="P88" s="3"/>
      <c r="Q88" s="3"/>
      <c r="R88" s="3"/>
      <c r="S88" s="3"/>
      <c r="T88" s="3"/>
      <c r="U88" s="3"/>
      <c r="V88" s="3"/>
      <c r="W88" s="213"/>
      <c r="X88" s="212"/>
      <c r="Y88" s="217"/>
      <c r="Z88" s="5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18"/>
      <c r="AQ88" s="6"/>
      <c r="AR88" s="6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18"/>
      <c r="BE88" s="7"/>
      <c r="BF88" s="7"/>
      <c r="BG88" s="3"/>
      <c r="BH88" s="3"/>
      <c r="BI88" s="3"/>
      <c r="BJ88" s="3"/>
      <c r="BK88" s="3"/>
      <c r="BL88" s="3"/>
      <c r="BM88" s="3"/>
      <c r="BN88" s="3"/>
      <c r="BO88" s="8"/>
      <c r="BP88" s="8"/>
      <c r="BQ88" s="3"/>
      <c r="BR88" s="3"/>
      <c r="BS88" s="3"/>
      <c r="BT88" s="3"/>
      <c r="BU88" s="10"/>
      <c r="BV88" s="3"/>
      <c r="BW88" s="3"/>
      <c r="BX88" s="3"/>
      <c r="BY88" s="3"/>
      <c r="BZ88" s="11"/>
      <c r="CA88" s="3"/>
      <c r="CB88" s="3"/>
      <c r="CC88" s="3"/>
      <c r="CD88" s="3"/>
      <c r="CE88" s="12"/>
      <c r="CF88" s="3"/>
      <c r="CG88" s="3"/>
      <c r="CH88" s="3"/>
      <c r="CI88" s="3"/>
      <c r="CJ88" s="13"/>
      <c r="CK88" s="3"/>
      <c r="CL88" s="3"/>
      <c r="CM88" s="3"/>
      <c r="CN88" s="3"/>
      <c r="CO88" s="14"/>
      <c r="CP88" s="3"/>
      <c r="CQ88" s="3"/>
      <c r="CR88" s="3"/>
      <c r="CS88" s="3"/>
      <c r="CT88" s="15"/>
      <c r="CU88" s="16"/>
      <c r="CV88" s="16"/>
      <c r="CW88" s="16"/>
      <c r="CX88" s="15"/>
      <c r="CY88" s="16"/>
      <c r="CZ88" s="17"/>
    </row>
    <row r="89" spans="1:104">
      <c r="A89" s="19"/>
      <c r="B89" s="2"/>
      <c r="C89" s="2"/>
      <c r="D89" s="2"/>
      <c r="E89" s="3"/>
      <c r="F89" s="3"/>
      <c r="G89" s="3"/>
      <c r="H89" s="3"/>
      <c r="I89" s="3"/>
      <c r="J89" s="3"/>
      <c r="K89" s="3"/>
      <c r="L89" s="2"/>
      <c r="M89" s="3"/>
      <c r="N89" s="3"/>
      <c r="O89" s="3"/>
      <c r="P89" s="3"/>
      <c r="Q89" s="3"/>
      <c r="R89" s="3"/>
      <c r="S89" s="3"/>
      <c r="T89" s="3"/>
      <c r="U89" s="3"/>
      <c r="V89" s="3"/>
      <c r="W89" s="213"/>
      <c r="X89" s="212"/>
      <c r="Y89" s="217"/>
      <c r="Z89" s="5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18"/>
      <c r="AQ89" s="6"/>
      <c r="AR89" s="6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18"/>
      <c r="BE89" s="7"/>
      <c r="BF89" s="7"/>
      <c r="BG89" s="3"/>
      <c r="BH89" s="3"/>
      <c r="BI89" s="3"/>
      <c r="BJ89" s="3"/>
      <c r="BK89" s="3"/>
      <c r="BL89" s="3"/>
      <c r="BM89" s="3"/>
      <c r="BN89" s="3"/>
      <c r="BO89" s="8"/>
      <c r="BP89" s="8"/>
      <c r="BQ89" s="3"/>
      <c r="BR89" s="3"/>
      <c r="BS89" s="3"/>
      <c r="BT89" s="3"/>
      <c r="BU89" s="10"/>
      <c r="BV89" s="3"/>
      <c r="BW89" s="3"/>
      <c r="BX89" s="3"/>
      <c r="BY89" s="3"/>
      <c r="BZ89" s="11"/>
      <c r="CA89" s="3"/>
      <c r="CB89" s="3"/>
      <c r="CC89" s="3"/>
      <c r="CD89" s="3"/>
      <c r="CE89" s="12"/>
      <c r="CF89" s="3"/>
      <c r="CG89" s="3"/>
      <c r="CH89" s="3"/>
      <c r="CI89" s="3"/>
      <c r="CJ89" s="13"/>
      <c r="CK89" s="3"/>
      <c r="CL89" s="3"/>
      <c r="CM89" s="3"/>
      <c r="CN89" s="3"/>
      <c r="CO89" s="14"/>
      <c r="CP89" s="3"/>
      <c r="CQ89" s="3"/>
      <c r="CR89" s="3"/>
      <c r="CS89" s="3"/>
      <c r="CT89" s="15"/>
      <c r="CU89" s="16"/>
      <c r="CV89" s="16"/>
      <c r="CW89" s="16"/>
      <c r="CX89" s="15"/>
      <c r="CY89" s="16"/>
      <c r="CZ89" s="17"/>
    </row>
    <row r="90" spans="1:104">
      <c r="A90" s="19"/>
      <c r="B90" s="2"/>
      <c r="C90" s="2"/>
      <c r="D90" s="2"/>
      <c r="E90" s="3"/>
      <c r="F90" s="3"/>
      <c r="G90" s="3"/>
      <c r="H90" s="3"/>
      <c r="I90" s="3"/>
      <c r="J90" s="3"/>
      <c r="K90" s="3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213"/>
      <c r="X90" s="212"/>
      <c r="Y90" s="217"/>
      <c r="Z90" s="5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18"/>
      <c r="AQ90" s="6"/>
      <c r="AR90" s="6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18"/>
      <c r="BE90" s="7"/>
      <c r="BF90" s="7"/>
      <c r="BG90" s="3"/>
      <c r="BH90" s="3"/>
      <c r="BI90" s="3"/>
      <c r="BJ90" s="3"/>
      <c r="BK90" s="3"/>
      <c r="BL90" s="3"/>
      <c r="BM90" s="3"/>
      <c r="BN90" s="3"/>
      <c r="BO90" s="8"/>
      <c r="BP90" s="8"/>
      <c r="BQ90" s="3"/>
      <c r="BR90" s="3"/>
      <c r="BS90" s="3"/>
      <c r="BT90" s="3"/>
      <c r="BU90" s="10"/>
      <c r="BV90" s="3"/>
      <c r="BW90" s="3"/>
      <c r="BX90" s="3"/>
      <c r="BY90" s="3"/>
      <c r="BZ90" s="11"/>
      <c r="CA90" s="3"/>
      <c r="CB90" s="3"/>
      <c r="CC90" s="3"/>
      <c r="CD90" s="3"/>
      <c r="CE90" s="12"/>
      <c r="CF90" s="3"/>
      <c r="CG90" s="3"/>
      <c r="CH90" s="3"/>
      <c r="CI90" s="3"/>
      <c r="CJ90" s="13"/>
      <c r="CK90" s="3"/>
      <c r="CL90" s="3"/>
      <c r="CM90" s="3"/>
      <c r="CN90" s="3"/>
      <c r="CO90" s="14"/>
      <c r="CP90" s="3"/>
      <c r="CQ90" s="3"/>
      <c r="CR90" s="3"/>
      <c r="CS90" s="3"/>
      <c r="CT90" s="15"/>
      <c r="CU90" s="16"/>
      <c r="CV90" s="16"/>
      <c r="CW90" s="16"/>
      <c r="CX90" s="15"/>
      <c r="CY90" s="16"/>
      <c r="CZ90" s="17"/>
    </row>
    <row r="91" spans="1:104">
      <c r="A91" s="19"/>
      <c r="B91" s="2"/>
      <c r="C91" s="2"/>
      <c r="D91" s="2"/>
      <c r="E91" s="3"/>
      <c r="F91" s="3"/>
      <c r="G91" s="3"/>
      <c r="H91" s="3"/>
      <c r="I91" s="3"/>
      <c r="J91" s="3"/>
      <c r="K91" s="3"/>
      <c r="L91" s="2"/>
      <c r="M91" s="3"/>
      <c r="N91" s="3"/>
      <c r="O91" s="3"/>
      <c r="P91" s="3"/>
      <c r="Q91" s="3"/>
      <c r="R91" s="3"/>
      <c r="S91" s="3"/>
      <c r="T91" s="3"/>
      <c r="U91" s="3"/>
      <c r="V91" s="3"/>
      <c r="W91" s="213"/>
      <c r="X91" s="212"/>
      <c r="Y91" s="217"/>
      <c r="Z91" s="5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18"/>
      <c r="AQ91" s="6"/>
      <c r="AR91" s="6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18"/>
      <c r="BE91" s="7"/>
      <c r="BF91" s="7"/>
      <c r="BG91" s="3"/>
      <c r="BH91" s="3"/>
      <c r="BI91" s="3"/>
      <c r="BJ91" s="3"/>
      <c r="BK91" s="3"/>
      <c r="BL91" s="3"/>
      <c r="BM91" s="3"/>
      <c r="BN91" s="3"/>
      <c r="BO91" s="8"/>
      <c r="BP91" s="8"/>
      <c r="BQ91" s="3"/>
      <c r="BR91" s="3"/>
      <c r="BS91" s="3"/>
      <c r="BT91" s="3"/>
      <c r="BU91" s="10"/>
      <c r="BV91" s="3"/>
      <c r="BW91" s="3"/>
      <c r="BX91" s="3"/>
      <c r="BY91" s="3"/>
      <c r="BZ91" s="11"/>
      <c r="CA91" s="3"/>
      <c r="CB91" s="3"/>
      <c r="CC91" s="3"/>
      <c r="CD91" s="3"/>
      <c r="CE91" s="12"/>
      <c r="CF91" s="3"/>
      <c r="CG91" s="3"/>
      <c r="CH91" s="3"/>
      <c r="CI91" s="3"/>
      <c r="CJ91" s="13"/>
      <c r="CK91" s="3"/>
      <c r="CL91" s="3"/>
      <c r="CM91" s="3"/>
      <c r="CN91" s="3"/>
      <c r="CO91" s="14"/>
      <c r="CP91" s="3"/>
      <c r="CQ91" s="3"/>
      <c r="CR91" s="3"/>
      <c r="CS91" s="3"/>
      <c r="CT91" s="15"/>
      <c r="CU91" s="16"/>
      <c r="CV91" s="16"/>
      <c r="CW91" s="16"/>
      <c r="CX91" s="15"/>
      <c r="CY91" s="16"/>
      <c r="CZ91" s="17"/>
    </row>
    <row r="92" spans="1:104">
      <c r="A92" s="19"/>
      <c r="B92" s="2"/>
      <c r="C92" s="2"/>
      <c r="D92" s="2"/>
      <c r="E92" s="3"/>
      <c r="F92" s="3"/>
      <c r="G92" s="3"/>
      <c r="H92" s="3"/>
      <c r="I92" s="3"/>
      <c r="J92" s="3"/>
      <c r="K92" s="3"/>
      <c r="L92" s="2"/>
      <c r="M92" s="3"/>
      <c r="N92" s="3"/>
      <c r="O92" s="3"/>
      <c r="P92" s="3"/>
      <c r="Q92" s="3"/>
      <c r="R92" s="3"/>
      <c r="S92" s="3"/>
      <c r="T92" s="3"/>
      <c r="U92" s="3"/>
      <c r="V92" s="3"/>
      <c r="W92" s="213"/>
      <c r="X92" s="212"/>
      <c r="Y92" s="217"/>
      <c r="Z92" s="5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18"/>
      <c r="AQ92" s="6"/>
      <c r="AR92" s="6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18"/>
      <c r="BE92" s="7"/>
      <c r="BF92" s="7"/>
      <c r="BG92" s="3"/>
      <c r="BH92" s="3"/>
      <c r="BI92" s="3"/>
      <c r="BJ92" s="3"/>
      <c r="BK92" s="3"/>
      <c r="BL92" s="3"/>
      <c r="BM92" s="3"/>
      <c r="BN92" s="3"/>
      <c r="BO92" s="8"/>
      <c r="BP92" s="8"/>
      <c r="BQ92" s="3"/>
      <c r="BR92" s="3"/>
      <c r="BS92" s="3"/>
      <c r="BT92" s="3"/>
      <c r="BU92" s="10"/>
      <c r="BV92" s="3"/>
      <c r="BW92" s="3"/>
      <c r="BX92" s="3"/>
      <c r="BY92" s="3"/>
      <c r="BZ92" s="11"/>
      <c r="CA92" s="3"/>
      <c r="CB92" s="3"/>
      <c r="CC92" s="3"/>
      <c r="CD92" s="3"/>
      <c r="CE92" s="12"/>
      <c r="CF92" s="3"/>
      <c r="CG92" s="3"/>
      <c r="CH92" s="3"/>
      <c r="CI92" s="3"/>
      <c r="CJ92" s="13"/>
      <c r="CK92" s="3"/>
      <c r="CL92" s="3"/>
      <c r="CM92" s="3"/>
      <c r="CN92" s="3"/>
      <c r="CO92" s="14"/>
      <c r="CP92" s="3"/>
      <c r="CQ92" s="3"/>
      <c r="CR92" s="3"/>
      <c r="CS92" s="3"/>
      <c r="CT92" s="15"/>
      <c r="CU92" s="16"/>
      <c r="CV92" s="16"/>
      <c r="CW92" s="16"/>
      <c r="CX92" s="15"/>
      <c r="CY92" s="16"/>
      <c r="CZ92" s="17"/>
    </row>
    <row r="93" spans="1:104">
      <c r="A93" s="19"/>
      <c r="B93" s="2"/>
      <c r="C93" s="2"/>
      <c r="D93" s="2"/>
      <c r="E93" s="3"/>
      <c r="F93" s="3"/>
      <c r="G93" s="3"/>
      <c r="H93" s="3"/>
      <c r="I93" s="3"/>
      <c r="J93" s="3"/>
      <c r="K93" s="3"/>
      <c r="L93" s="2"/>
      <c r="M93" s="3"/>
      <c r="N93" s="3"/>
      <c r="O93" s="3"/>
      <c r="P93" s="3"/>
      <c r="Q93" s="3"/>
      <c r="R93" s="3"/>
      <c r="S93" s="3"/>
      <c r="T93" s="3"/>
      <c r="U93" s="3"/>
      <c r="V93" s="3"/>
      <c r="W93" s="213"/>
      <c r="X93" s="212"/>
      <c r="Y93" s="217"/>
      <c r="Z93" s="5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18"/>
      <c r="AQ93" s="6"/>
      <c r="AR93" s="6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18"/>
      <c r="BE93" s="7"/>
      <c r="BF93" s="7"/>
      <c r="BG93" s="3"/>
      <c r="BH93" s="3"/>
      <c r="BI93" s="3"/>
      <c r="BJ93" s="3"/>
      <c r="BK93" s="3"/>
      <c r="BL93" s="3"/>
      <c r="BM93" s="3"/>
      <c r="BN93" s="3"/>
      <c r="BO93" s="8"/>
      <c r="BP93" s="8"/>
      <c r="BQ93" s="3"/>
      <c r="BR93" s="3"/>
      <c r="BS93" s="3"/>
      <c r="BT93" s="3"/>
      <c r="BU93" s="10"/>
      <c r="BV93" s="3"/>
      <c r="BW93" s="3"/>
      <c r="BX93" s="3"/>
      <c r="BY93" s="3"/>
      <c r="BZ93" s="11"/>
      <c r="CA93" s="3"/>
      <c r="CB93" s="3"/>
      <c r="CC93" s="3"/>
      <c r="CD93" s="3"/>
      <c r="CE93" s="12"/>
      <c r="CF93" s="3"/>
      <c r="CG93" s="3"/>
      <c r="CH93" s="3"/>
      <c r="CI93" s="3"/>
      <c r="CJ93" s="13"/>
      <c r="CK93" s="3"/>
      <c r="CL93" s="3"/>
      <c r="CM93" s="3"/>
      <c r="CN93" s="3"/>
      <c r="CO93" s="14"/>
      <c r="CP93" s="3"/>
      <c r="CQ93" s="3"/>
      <c r="CR93" s="3"/>
      <c r="CS93" s="3"/>
      <c r="CT93" s="15"/>
      <c r="CU93" s="16"/>
      <c r="CV93" s="16"/>
      <c r="CW93" s="16"/>
      <c r="CX93" s="15"/>
      <c r="CY93" s="16"/>
      <c r="CZ93" s="17"/>
    </row>
    <row r="94" spans="1:104">
      <c r="A94" s="19"/>
      <c r="B94" s="2"/>
      <c r="C94" s="2"/>
      <c r="D94" s="2"/>
      <c r="E94" s="3"/>
      <c r="F94" s="3"/>
      <c r="G94" s="3"/>
      <c r="H94" s="3"/>
      <c r="I94" s="3"/>
      <c r="J94" s="3"/>
      <c r="K94" s="3"/>
      <c r="L94" s="2"/>
      <c r="M94" s="3"/>
      <c r="N94" s="3"/>
      <c r="O94" s="3"/>
      <c r="P94" s="3"/>
      <c r="Q94" s="3"/>
      <c r="R94" s="3"/>
      <c r="S94" s="3"/>
      <c r="T94" s="3"/>
      <c r="U94" s="3"/>
      <c r="V94" s="3"/>
      <c r="W94" s="213"/>
      <c r="X94" s="212"/>
      <c r="Y94" s="217"/>
      <c r="Z94" s="5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18"/>
      <c r="AQ94" s="6"/>
      <c r="AR94" s="6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18"/>
      <c r="BE94" s="7"/>
      <c r="BF94" s="7"/>
      <c r="BG94" s="3"/>
      <c r="BH94" s="3"/>
      <c r="BI94" s="3"/>
      <c r="BJ94" s="3"/>
      <c r="BK94" s="3"/>
      <c r="BL94" s="3"/>
      <c r="BM94" s="3"/>
      <c r="BN94" s="3"/>
      <c r="BO94" s="8"/>
      <c r="BP94" s="8"/>
      <c r="BQ94" s="3"/>
      <c r="BR94" s="3"/>
      <c r="BS94" s="3"/>
      <c r="BT94" s="3"/>
      <c r="BU94" s="10"/>
      <c r="BV94" s="3"/>
      <c r="BW94" s="3"/>
      <c r="BX94" s="3"/>
      <c r="BY94" s="3"/>
      <c r="BZ94" s="11"/>
      <c r="CA94" s="3"/>
      <c r="CB94" s="3"/>
      <c r="CC94" s="3"/>
      <c r="CD94" s="3"/>
      <c r="CE94" s="12"/>
      <c r="CF94" s="3"/>
      <c r="CG94" s="3"/>
      <c r="CH94" s="3"/>
      <c r="CI94" s="3"/>
      <c r="CJ94" s="13"/>
      <c r="CK94" s="3"/>
      <c r="CL94" s="3"/>
      <c r="CM94" s="3"/>
      <c r="CN94" s="3"/>
      <c r="CO94" s="14"/>
      <c r="CP94" s="3"/>
      <c r="CQ94" s="3"/>
      <c r="CR94" s="3"/>
      <c r="CS94" s="3"/>
      <c r="CT94" s="15"/>
      <c r="CU94" s="16"/>
      <c r="CV94" s="16"/>
      <c r="CW94" s="16"/>
      <c r="CX94" s="15"/>
      <c r="CY94" s="16"/>
      <c r="CZ94" s="17"/>
    </row>
    <row r="95" spans="1:104">
      <c r="A95" s="19"/>
      <c r="B95" s="2"/>
      <c r="C95" s="2"/>
      <c r="D95" s="2"/>
      <c r="E95" s="3"/>
      <c r="F95" s="3"/>
      <c r="G95" s="3"/>
      <c r="H95" s="3"/>
      <c r="I95" s="3"/>
      <c r="J95" s="3"/>
      <c r="K95" s="3"/>
      <c r="L95" s="2"/>
      <c r="M95" s="3"/>
      <c r="N95" s="3"/>
      <c r="O95" s="3"/>
      <c r="P95" s="3"/>
      <c r="Q95" s="3"/>
      <c r="R95" s="3"/>
      <c r="S95" s="3"/>
      <c r="T95" s="3"/>
      <c r="U95" s="3"/>
      <c r="V95" s="3"/>
      <c r="W95" s="213"/>
      <c r="X95" s="212"/>
      <c r="Y95" s="217"/>
      <c r="Z95" s="5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18"/>
      <c r="AQ95" s="6"/>
      <c r="AR95" s="6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18"/>
      <c r="BE95" s="7"/>
      <c r="BF95" s="7"/>
      <c r="BG95" s="3"/>
      <c r="BH95" s="3"/>
      <c r="BI95" s="3"/>
      <c r="BJ95" s="3"/>
      <c r="BK95" s="3"/>
      <c r="BL95" s="3"/>
      <c r="BM95" s="3"/>
      <c r="BN95" s="3"/>
      <c r="BO95" s="8"/>
      <c r="BP95" s="8"/>
      <c r="BQ95" s="3"/>
      <c r="BR95" s="3"/>
      <c r="BS95" s="3"/>
      <c r="BT95" s="3"/>
      <c r="BU95" s="10"/>
      <c r="BV95" s="3"/>
      <c r="BW95" s="3"/>
      <c r="BX95" s="3"/>
      <c r="BY95" s="3"/>
      <c r="BZ95" s="11"/>
      <c r="CA95" s="3"/>
      <c r="CB95" s="3"/>
      <c r="CC95" s="3"/>
      <c r="CD95" s="3"/>
      <c r="CE95" s="12"/>
      <c r="CF95" s="3"/>
      <c r="CG95" s="3"/>
      <c r="CH95" s="3"/>
      <c r="CI95" s="3"/>
      <c r="CJ95" s="13"/>
      <c r="CK95" s="3"/>
      <c r="CL95" s="3"/>
      <c r="CM95" s="3"/>
      <c r="CN95" s="3"/>
      <c r="CO95" s="14"/>
      <c r="CP95" s="3"/>
      <c r="CQ95" s="3"/>
      <c r="CR95" s="3"/>
      <c r="CS95" s="3"/>
      <c r="CT95" s="15"/>
      <c r="CU95" s="16"/>
      <c r="CV95" s="16"/>
      <c r="CW95" s="16"/>
      <c r="CX95" s="15"/>
      <c r="CY95" s="16"/>
      <c r="CZ95" s="17"/>
    </row>
    <row r="96" spans="1:104">
      <c r="A96" s="19"/>
      <c r="B96" s="2"/>
      <c r="C96" s="2"/>
      <c r="D96" s="2"/>
      <c r="E96" s="3"/>
      <c r="F96" s="3"/>
      <c r="G96" s="3"/>
      <c r="H96" s="3"/>
      <c r="I96" s="3"/>
      <c r="J96" s="3"/>
      <c r="K96" s="3"/>
      <c r="L96" s="2"/>
      <c r="M96" s="3"/>
      <c r="N96" s="3"/>
      <c r="O96" s="3"/>
      <c r="P96" s="3"/>
      <c r="Q96" s="3"/>
      <c r="R96" s="3"/>
      <c r="S96" s="3"/>
      <c r="T96" s="3"/>
      <c r="U96" s="3"/>
      <c r="V96" s="3"/>
      <c r="W96" s="213"/>
      <c r="X96" s="212"/>
      <c r="Y96" s="217"/>
      <c r="Z96" s="5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18"/>
      <c r="AQ96" s="6"/>
      <c r="AR96" s="6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18"/>
      <c r="BE96" s="7"/>
      <c r="BF96" s="7"/>
      <c r="BG96" s="3"/>
      <c r="BH96" s="3"/>
      <c r="BI96" s="3"/>
      <c r="BJ96" s="3"/>
      <c r="BK96" s="3"/>
      <c r="BL96" s="3"/>
      <c r="BM96" s="3"/>
      <c r="BN96" s="3"/>
      <c r="BO96" s="8"/>
      <c r="BP96" s="8"/>
      <c r="BQ96" s="3"/>
      <c r="BR96" s="3"/>
      <c r="BS96" s="3"/>
      <c r="BT96" s="3"/>
      <c r="BU96" s="10"/>
      <c r="BV96" s="3"/>
      <c r="BW96" s="3"/>
      <c r="BX96" s="3"/>
      <c r="BY96" s="3"/>
      <c r="BZ96" s="11"/>
      <c r="CA96" s="3"/>
      <c r="CB96" s="3"/>
      <c r="CC96" s="3"/>
      <c r="CD96" s="3"/>
      <c r="CE96" s="12"/>
      <c r="CF96" s="3"/>
      <c r="CG96" s="3"/>
      <c r="CH96" s="3"/>
      <c r="CI96" s="3"/>
      <c r="CJ96" s="13"/>
      <c r="CK96" s="3"/>
      <c r="CL96" s="3"/>
      <c r="CM96" s="3"/>
      <c r="CN96" s="3"/>
      <c r="CO96" s="14"/>
      <c r="CP96" s="3"/>
      <c r="CQ96" s="3"/>
      <c r="CR96" s="3"/>
      <c r="CS96" s="3"/>
      <c r="CT96" s="15"/>
      <c r="CU96" s="16"/>
      <c r="CV96" s="16"/>
      <c r="CW96" s="16"/>
      <c r="CX96" s="15"/>
      <c r="CY96" s="16"/>
      <c r="CZ96" s="17"/>
    </row>
    <row r="97" spans="1:104">
      <c r="A97" s="19"/>
      <c r="B97" s="2"/>
      <c r="C97" s="2"/>
      <c r="D97" s="2"/>
      <c r="E97" s="3"/>
      <c r="F97" s="3"/>
      <c r="G97" s="3"/>
      <c r="H97" s="3"/>
      <c r="I97" s="3"/>
      <c r="J97" s="3"/>
      <c r="K97" s="3"/>
      <c r="L97" s="2"/>
      <c r="M97" s="3"/>
      <c r="N97" s="3"/>
      <c r="O97" s="3"/>
      <c r="P97" s="3"/>
      <c r="Q97" s="3"/>
      <c r="R97" s="3"/>
      <c r="S97" s="3"/>
      <c r="T97" s="3"/>
      <c r="U97" s="3"/>
      <c r="V97" s="3"/>
      <c r="W97" s="213"/>
      <c r="X97" s="212"/>
      <c r="Y97" s="217"/>
      <c r="Z97" s="5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18"/>
      <c r="AQ97" s="6"/>
      <c r="AR97" s="6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18"/>
      <c r="BE97" s="7"/>
      <c r="BF97" s="7"/>
      <c r="BG97" s="3"/>
      <c r="BH97" s="3"/>
      <c r="BI97" s="3"/>
      <c r="BJ97" s="3"/>
      <c r="BK97" s="3"/>
      <c r="BL97" s="3"/>
      <c r="BM97" s="3"/>
      <c r="BN97" s="3"/>
      <c r="BO97" s="8"/>
      <c r="BP97" s="8"/>
      <c r="BQ97" s="3"/>
      <c r="BR97" s="3"/>
      <c r="BS97" s="3"/>
      <c r="BT97" s="3"/>
      <c r="BU97" s="10"/>
      <c r="BV97" s="3"/>
      <c r="BW97" s="3"/>
      <c r="BX97" s="3"/>
      <c r="BY97" s="3"/>
      <c r="BZ97" s="11"/>
      <c r="CA97" s="3"/>
      <c r="CB97" s="3"/>
      <c r="CC97" s="3"/>
      <c r="CD97" s="3"/>
      <c r="CE97" s="12"/>
      <c r="CF97" s="3"/>
      <c r="CG97" s="3"/>
      <c r="CH97" s="3"/>
      <c r="CI97" s="3"/>
      <c r="CJ97" s="13"/>
      <c r="CK97" s="3"/>
      <c r="CL97" s="3"/>
      <c r="CM97" s="3"/>
      <c r="CN97" s="3"/>
      <c r="CO97" s="14"/>
      <c r="CP97" s="3"/>
      <c r="CQ97" s="3"/>
      <c r="CR97" s="3"/>
      <c r="CS97" s="3"/>
      <c r="CT97" s="15"/>
      <c r="CU97" s="16"/>
      <c r="CV97" s="16"/>
      <c r="CW97" s="16"/>
      <c r="CX97" s="15"/>
      <c r="CY97" s="16"/>
      <c r="CZ97" s="17"/>
    </row>
    <row r="98" spans="1:104">
      <c r="A98" s="19"/>
      <c r="B98" s="2"/>
      <c r="C98" s="2"/>
      <c r="D98" s="2"/>
      <c r="E98" s="3"/>
      <c r="F98" s="3"/>
      <c r="G98" s="3"/>
      <c r="H98" s="3"/>
      <c r="I98" s="3"/>
      <c r="J98" s="3"/>
      <c r="K98" s="3"/>
      <c r="L98" s="2"/>
      <c r="M98" s="3"/>
      <c r="N98" s="3"/>
      <c r="O98" s="3"/>
      <c r="P98" s="3"/>
      <c r="Q98" s="3"/>
      <c r="R98" s="3"/>
      <c r="S98" s="3"/>
      <c r="T98" s="3"/>
      <c r="U98" s="3"/>
      <c r="V98" s="3"/>
      <c r="W98" s="213"/>
      <c r="X98" s="212"/>
      <c r="Y98" s="217"/>
      <c r="Z98" s="5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18"/>
      <c r="AQ98" s="6"/>
      <c r="AR98" s="6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18"/>
      <c r="BE98" s="7"/>
      <c r="BF98" s="7"/>
      <c r="BG98" s="3"/>
      <c r="BH98" s="3"/>
      <c r="BI98" s="3"/>
      <c r="BJ98" s="3"/>
      <c r="BK98" s="3"/>
      <c r="BL98" s="3"/>
      <c r="BM98" s="3"/>
      <c r="BN98" s="3"/>
      <c r="BO98" s="8"/>
      <c r="BP98" s="8"/>
      <c r="BQ98" s="3"/>
      <c r="BR98" s="3"/>
      <c r="BS98" s="3"/>
      <c r="BT98" s="3"/>
      <c r="BU98" s="10"/>
      <c r="BV98" s="3"/>
      <c r="BW98" s="3"/>
      <c r="BX98" s="3"/>
      <c r="BY98" s="3"/>
      <c r="BZ98" s="11"/>
      <c r="CA98" s="3"/>
      <c r="CB98" s="3"/>
      <c r="CC98" s="3"/>
      <c r="CD98" s="3"/>
      <c r="CE98" s="12"/>
      <c r="CF98" s="3"/>
      <c r="CG98" s="3"/>
      <c r="CH98" s="3"/>
      <c r="CI98" s="3"/>
      <c r="CJ98" s="13"/>
      <c r="CK98" s="3"/>
      <c r="CL98" s="3"/>
      <c r="CM98" s="3"/>
      <c r="CN98" s="3"/>
      <c r="CO98" s="14"/>
      <c r="CP98" s="3"/>
      <c r="CQ98" s="3"/>
      <c r="CR98" s="3"/>
      <c r="CS98" s="3"/>
      <c r="CT98" s="15"/>
      <c r="CU98" s="16"/>
      <c r="CV98" s="16"/>
      <c r="CW98" s="16"/>
      <c r="CX98" s="15"/>
      <c r="CY98" s="16"/>
      <c r="CZ98" s="17"/>
    </row>
    <row r="99" spans="1:104">
      <c r="A99" s="19"/>
      <c r="B99" s="2"/>
      <c r="C99" s="2"/>
      <c r="D99" s="2"/>
      <c r="E99" s="3"/>
      <c r="F99" s="3"/>
      <c r="G99" s="3"/>
      <c r="H99" s="3"/>
      <c r="I99" s="3"/>
      <c r="J99" s="3"/>
      <c r="K99" s="3"/>
      <c r="L99" s="2"/>
      <c r="M99" s="3"/>
      <c r="N99" s="3"/>
      <c r="O99" s="3"/>
      <c r="P99" s="3"/>
      <c r="Q99" s="3"/>
      <c r="R99" s="3"/>
      <c r="S99" s="3"/>
      <c r="T99" s="3"/>
      <c r="U99" s="3"/>
      <c r="V99" s="3"/>
      <c r="W99" s="213"/>
      <c r="X99" s="212"/>
      <c r="Y99" s="217"/>
      <c r="Z99" s="5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18"/>
      <c r="AQ99" s="6"/>
      <c r="AR99" s="6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18"/>
      <c r="BE99" s="7"/>
      <c r="BF99" s="7"/>
      <c r="BG99" s="3"/>
      <c r="BH99" s="3"/>
      <c r="BI99" s="3"/>
      <c r="BJ99" s="3"/>
      <c r="BK99" s="3"/>
      <c r="BL99" s="3"/>
      <c r="BM99" s="3"/>
      <c r="BN99" s="3"/>
      <c r="BO99" s="8"/>
      <c r="BP99" s="8"/>
      <c r="BQ99" s="3"/>
      <c r="BR99" s="3"/>
      <c r="BS99" s="3"/>
      <c r="BT99" s="3"/>
      <c r="BU99" s="10"/>
      <c r="BV99" s="3"/>
      <c r="BW99" s="3"/>
      <c r="BX99" s="3"/>
      <c r="BY99" s="3"/>
      <c r="BZ99" s="11"/>
      <c r="CA99" s="3"/>
      <c r="CB99" s="3"/>
      <c r="CC99" s="3"/>
      <c r="CD99" s="3"/>
      <c r="CE99" s="12"/>
      <c r="CF99" s="3"/>
      <c r="CG99" s="3"/>
      <c r="CH99" s="3"/>
      <c r="CI99" s="3"/>
      <c r="CJ99" s="13"/>
      <c r="CK99" s="3"/>
      <c r="CL99" s="3"/>
      <c r="CM99" s="3"/>
      <c r="CN99" s="3"/>
      <c r="CO99" s="14"/>
      <c r="CP99" s="3"/>
      <c r="CQ99" s="3"/>
      <c r="CR99" s="3"/>
      <c r="CS99" s="3"/>
      <c r="CT99" s="15"/>
      <c r="CU99" s="16"/>
      <c r="CV99" s="16"/>
      <c r="CW99" s="16"/>
      <c r="CX99" s="15"/>
      <c r="CY99" s="16"/>
      <c r="CZ99" s="17"/>
    </row>
    <row r="100" spans="1:104">
      <c r="A100" s="19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213"/>
      <c r="X100" s="212"/>
      <c r="Y100" s="217"/>
      <c r="Z100" s="5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18"/>
      <c r="AQ100" s="6"/>
      <c r="AR100" s="6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18"/>
      <c r="BE100" s="7"/>
      <c r="BF100" s="7"/>
      <c r="BG100" s="3"/>
      <c r="BH100" s="3"/>
      <c r="BI100" s="3"/>
      <c r="BJ100" s="3"/>
      <c r="BK100" s="3"/>
      <c r="BL100" s="3"/>
      <c r="BM100" s="3"/>
      <c r="BN100" s="3"/>
      <c r="BO100" s="8"/>
      <c r="BP100" s="8"/>
      <c r="BQ100" s="3"/>
      <c r="BR100" s="3"/>
      <c r="BS100" s="3"/>
      <c r="BT100" s="3"/>
      <c r="BU100" s="10"/>
      <c r="BV100" s="3"/>
      <c r="BW100" s="3"/>
      <c r="BX100" s="3"/>
      <c r="BY100" s="3"/>
      <c r="BZ100" s="11"/>
      <c r="CA100" s="3"/>
      <c r="CB100" s="3"/>
      <c r="CC100" s="3"/>
      <c r="CD100" s="3"/>
      <c r="CE100" s="12"/>
      <c r="CF100" s="3"/>
      <c r="CG100" s="3"/>
      <c r="CH100" s="3"/>
      <c r="CI100" s="3"/>
      <c r="CJ100" s="13"/>
      <c r="CK100" s="3"/>
      <c r="CL100" s="3"/>
      <c r="CM100" s="3"/>
      <c r="CN100" s="3"/>
      <c r="CO100" s="14"/>
      <c r="CP100" s="3"/>
      <c r="CQ100" s="3"/>
      <c r="CR100" s="3"/>
      <c r="CS100" s="3"/>
      <c r="CT100" s="15"/>
      <c r="CU100" s="16"/>
      <c r="CV100" s="16"/>
      <c r="CW100" s="16"/>
      <c r="CX100" s="15"/>
      <c r="CY100" s="16"/>
      <c r="CZ100" s="17"/>
    </row>
    <row r="101" spans="1:104">
      <c r="A101" s="19"/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213"/>
      <c r="X101" s="212"/>
      <c r="Y101" s="217"/>
      <c r="Z101" s="5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18"/>
      <c r="AQ101" s="6"/>
      <c r="AR101" s="6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18"/>
      <c r="BE101" s="7"/>
      <c r="BF101" s="7"/>
      <c r="BG101" s="3"/>
      <c r="BH101" s="3"/>
      <c r="BI101" s="3"/>
      <c r="BJ101" s="3"/>
      <c r="BK101" s="3"/>
      <c r="BL101" s="3"/>
      <c r="BM101" s="3"/>
      <c r="BN101" s="3"/>
      <c r="BO101" s="8"/>
      <c r="BP101" s="8"/>
      <c r="BQ101" s="3"/>
      <c r="BR101" s="3"/>
      <c r="BS101" s="3"/>
      <c r="BT101" s="3"/>
      <c r="BU101" s="10"/>
      <c r="BV101" s="3"/>
      <c r="BW101" s="3"/>
      <c r="BX101" s="3"/>
      <c r="BY101" s="3"/>
      <c r="BZ101" s="11"/>
      <c r="CA101" s="3"/>
      <c r="CB101" s="3"/>
      <c r="CC101" s="3"/>
      <c r="CD101" s="3"/>
      <c r="CE101" s="12"/>
      <c r="CF101" s="3"/>
      <c r="CG101" s="3"/>
      <c r="CH101" s="3"/>
      <c r="CI101" s="3"/>
      <c r="CJ101" s="13"/>
      <c r="CK101" s="3"/>
      <c r="CL101" s="3"/>
      <c r="CM101" s="3"/>
      <c r="CN101" s="3"/>
      <c r="CO101" s="14"/>
      <c r="CP101" s="3"/>
      <c r="CQ101" s="3"/>
      <c r="CR101" s="3"/>
      <c r="CS101" s="3"/>
      <c r="CT101" s="15"/>
      <c r="CU101" s="16"/>
      <c r="CV101" s="16"/>
      <c r="CW101" s="16"/>
      <c r="CX101" s="15"/>
      <c r="CY101" s="16"/>
      <c r="CZ101" s="17"/>
    </row>
    <row r="102" spans="1:104">
      <c r="A102" s="19"/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213"/>
      <c r="X102" s="212"/>
      <c r="Y102" s="217"/>
      <c r="Z102" s="5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18"/>
      <c r="AQ102" s="6"/>
      <c r="AR102" s="6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18"/>
      <c r="BE102" s="7"/>
      <c r="BF102" s="7"/>
      <c r="BG102" s="3"/>
      <c r="BH102" s="3"/>
      <c r="BI102" s="3"/>
      <c r="BJ102" s="3"/>
      <c r="BK102" s="3"/>
      <c r="BL102" s="3"/>
      <c r="BM102" s="3"/>
      <c r="BN102" s="3"/>
      <c r="BO102" s="8"/>
      <c r="BP102" s="8"/>
      <c r="BQ102" s="3"/>
      <c r="BR102" s="3"/>
      <c r="BS102" s="3"/>
      <c r="BT102" s="3"/>
      <c r="BU102" s="10"/>
      <c r="BV102" s="3"/>
      <c r="BW102" s="3"/>
      <c r="BX102" s="3"/>
      <c r="BY102" s="3"/>
      <c r="BZ102" s="11"/>
      <c r="CA102" s="3"/>
      <c r="CB102" s="3"/>
      <c r="CC102" s="3"/>
      <c r="CD102" s="3"/>
      <c r="CE102" s="12"/>
      <c r="CF102" s="3"/>
      <c r="CG102" s="3"/>
      <c r="CH102" s="3"/>
      <c r="CI102" s="3"/>
      <c r="CJ102" s="13"/>
      <c r="CK102" s="3"/>
      <c r="CL102" s="3"/>
      <c r="CM102" s="3"/>
      <c r="CN102" s="3"/>
      <c r="CO102" s="14"/>
      <c r="CP102" s="3"/>
      <c r="CQ102" s="3"/>
      <c r="CR102" s="3"/>
      <c r="CS102" s="3"/>
      <c r="CT102" s="15"/>
      <c r="CU102" s="16"/>
      <c r="CV102" s="16"/>
      <c r="CW102" s="16"/>
      <c r="CX102" s="15"/>
      <c r="CY102" s="16"/>
      <c r="CZ102" s="17"/>
    </row>
    <row r="103" spans="1:104">
      <c r="A103" s="19"/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213"/>
      <c r="X103" s="212"/>
      <c r="Y103" s="217"/>
      <c r="Z103" s="5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18"/>
      <c r="AQ103" s="6"/>
      <c r="AR103" s="6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18"/>
      <c r="BE103" s="7"/>
      <c r="BF103" s="7"/>
      <c r="BG103" s="3"/>
      <c r="BH103" s="3"/>
      <c r="BI103" s="3"/>
      <c r="BJ103" s="3"/>
      <c r="BK103" s="3"/>
      <c r="BL103" s="3"/>
      <c r="BM103" s="3"/>
      <c r="BN103" s="3"/>
      <c r="BO103" s="8"/>
      <c r="BP103" s="8"/>
      <c r="BQ103" s="3"/>
      <c r="BR103" s="3"/>
      <c r="BS103" s="3"/>
      <c r="BT103" s="3"/>
      <c r="BU103" s="10"/>
      <c r="BV103" s="3"/>
      <c r="BW103" s="3"/>
      <c r="BX103" s="3"/>
      <c r="BY103" s="3"/>
      <c r="BZ103" s="11"/>
      <c r="CA103" s="3"/>
      <c r="CB103" s="3"/>
      <c r="CC103" s="3"/>
      <c r="CD103" s="3"/>
      <c r="CE103" s="12"/>
      <c r="CF103" s="3"/>
      <c r="CG103" s="3"/>
      <c r="CH103" s="3"/>
      <c r="CI103" s="3"/>
      <c r="CJ103" s="13"/>
      <c r="CK103" s="3"/>
      <c r="CL103" s="3"/>
      <c r="CM103" s="3"/>
      <c r="CN103" s="3"/>
      <c r="CO103" s="14"/>
      <c r="CP103" s="3"/>
      <c r="CQ103" s="3"/>
      <c r="CR103" s="3"/>
      <c r="CS103" s="3"/>
      <c r="CT103" s="15"/>
      <c r="CU103" s="16"/>
      <c r="CV103" s="16"/>
      <c r="CW103" s="16"/>
      <c r="CX103" s="15"/>
      <c r="CY103" s="16"/>
      <c r="CZ103" s="17"/>
    </row>
    <row r="104" spans="1:104">
      <c r="A104" s="19"/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213"/>
      <c r="X104" s="212"/>
      <c r="Y104" s="217"/>
      <c r="Z104" s="5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18"/>
      <c r="AQ104" s="6"/>
      <c r="AR104" s="6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18"/>
      <c r="BE104" s="7"/>
      <c r="BF104" s="7"/>
      <c r="BG104" s="3"/>
      <c r="BH104" s="3"/>
      <c r="BI104" s="3"/>
      <c r="BJ104" s="3"/>
      <c r="BK104" s="3"/>
      <c r="BL104" s="3"/>
      <c r="BM104" s="3"/>
      <c r="BN104" s="3"/>
      <c r="BO104" s="8"/>
      <c r="BP104" s="8"/>
      <c r="BQ104" s="3"/>
      <c r="BR104" s="3"/>
      <c r="BS104" s="3"/>
      <c r="BT104" s="3"/>
      <c r="BU104" s="10"/>
      <c r="BV104" s="3"/>
      <c r="BW104" s="3"/>
      <c r="BX104" s="3"/>
      <c r="BY104" s="3"/>
      <c r="BZ104" s="11"/>
      <c r="CA104" s="3"/>
      <c r="CB104" s="3"/>
      <c r="CC104" s="3"/>
      <c r="CD104" s="3"/>
      <c r="CE104" s="12"/>
      <c r="CF104" s="3"/>
      <c r="CG104" s="3"/>
      <c r="CH104" s="3"/>
      <c r="CI104" s="3"/>
      <c r="CJ104" s="13"/>
      <c r="CK104" s="3"/>
      <c r="CL104" s="3"/>
      <c r="CM104" s="3"/>
      <c r="CN104" s="3"/>
      <c r="CO104" s="14"/>
      <c r="CP104" s="3"/>
      <c r="CQ104" s="3"/>
      <c r="CR104" s="3"/>
      <c r="CS104" s="3"/>
      <c r="CT104" s="15"/>
      <c r="CU104" s="16"/>
      <c r="CV104" s="16"/>
      <c r="CW104" s="16"/>
      <c r="CX104" s="15"/>
      <c r="CY104" s="16"/>
      <c r="CZ104" s="17"/>
    </row>
    <row r="105" spans="1:104">
      <c r="A105" s="19"/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213"/>
      <c r="X105" s="212"/>
      <c r="Y105" s="217"/>
      <c r="Z105" s="5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18"/>
      <c r="AQ105" s="6"/>
      <c r="AR105" s="6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18"/>
      <c r="BE105" s="7"/>
      <c r="BF105" s="7"/>
      <c r="BG105" s="3"/>
      <c r="BH105" s="3"/>
      <c r="BI105" s="3"/>
      <c r="BJ105" s="3"/>
      <c r="BK105" s="3"/>
      <c r="BL105" s="3"/>
      <c r="BM105" s="3"/>
      <c r="BN105" s="3"/>
      <c r="BO105" s="8"/>
      <c r="BP105" s="8"/>
      <c r="BQ105" s="3"/>
      <c r="BR105" s="3"/>
      <c r="BS105" s="3"/>
      <c r="BT105" s="3"/>
      <c r="BU105" s="10"/>
      <c r="BV105" s="3"/>
      <c r="BW105" s="3"/>
      <c r="BX105" s="3"/>
      <c r="BY105" s="3"/>
      <c r="BZ105" s="11"/>
      <c r="CA105" s="3"/>
      <c r="CB105" s="3"/>
      <c r="CC105" s="3"/>
      <c r="CD105" s="3"/>
      <c r="CE105" s="12"/>
      <c r="CF105" s="3"/>
      <c r="CG105" s="3"/>
      <c r="CH105" s="3"/>
      <c r="CI105" s="3"/>
      <c r="CJ105" s="13"/>
      <c r="CK105" s="3"/>
      <c r="CL105" s="3"/>
      <c r="CM105" s="3"/>
      <c r="CN105" s="3"/>
      <c r="CO105" s="14"/>
      <c r="CP105" s="3"/>
      <c r="CQ105" s="3"/>
      <c r="CR105" s="3"/>
      <c r="CS105" s="3"/>
      <c r="CT105" s="15"/>
      <c r="CU105" s="16"/>
      <c r="CV105" s="16"/>
      <c r="CW105" s="16"/>
      <c r="CX105" s="15"/>
      <c r="CY105" s="16"/>
      <c r="CZ105" s="17"/>
    </row>
    <row r="106" spans="1:104">
      <c r="A106" s="19"/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213"/>
      <c r="X106" s="212"/>
      <c r="Y106" s="217"/>
      <c r="Z106" s="5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18"/>
      <c r="AQ106" s="6"/>
      <c r="AR106" s="6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18"/>
      <c r="BE106" s="7"/>
      <c r="BF106" s="7"/>
      <c r="BG106" s="3"/>
      <c r="BH106" s="3"/>
      <c r="BI106" s="3"/>
      <c r="BJ106" s="3"/>
      <c r="BK106" s="3"/>
      <c r="BL106" s="3"/>
      <c r="BM106" s="3"/>
      <c r="BN106" s="3"/>
      <c r="BO106" s="8"/>
      <c r="BP106" s="8"/>
      <c r="BQ106" s="3"/>
      <c r="BR106" s="3"/>
      <c r="BS106" s="3"/>
      <c r="BT106" s="3"/>
      <c r="BU106" s="10"/>
      <c r="BV106" s="3"/>
      <c r="BW106" s="3"/>
      <c r="BX106" s="3"/>
      <c r="BY106" s="3"/>
      <c r="BZ106" s="11"/>
      <c r="CA106" s="3"/>
      <c r="CB106" s="3"/>
      <c r="CC106" s="3"/>
      <c r="CD106" s="3"/>
      <c r="CE106" s="12"/>
      <c r="CF106" s="3"/>
      <c r="CG106" s="3"/>
      <c r="CH106" s="3"/>
      <c r="CI106" s="3"/>
      <c r="CJ106" s="13"/>
      <c r="CK106" s="3"/>
      <c r="CL106" s="3"/>
      <c r="CM106" s="3"/>
      <c r="CN106" s="3"/>
      <c r="CO106" s="14"/>
      <c r="CP106" s="3"/>
      <c r="CQ106" s="3"/>
      <c r="CR106" s="3"/>
      <c r="CS106" s="3"/>
      <c r="CT106" s="15"/>
      <c r="CU106" s="16"/>
      <c r="CV106" s="16"/>
      <c r="CW106" s="16"/>
      <c r="CX106" s="15"/>
      <c r="CY106" s="16"/>
      <c r="CZ106" s="17"/>
    </row>
    <row r="107" spans="1:104">
      <c r="A107" s="19"/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213"/>
      <c r="X107" s="212"/>
      <c r="Y107" s="217"/>
      <c r="Z107" s="5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18"/>
      <c r="AQ107" s="6"/>
      <c r="AR107" s="6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18"/>
      <c r="BE107" s="7"/>
      <c r="BF107" s="7"/>
      <c r="BG107" s="3"/>
      <c r="BH107" s="3"/>
      <c r="BI107" s="3"/>
      <c r="BJ107" s="3"/>
      <c r="BK107" s="3"/>
      <c r="BL107" s="3"/>
      <c r="BM107" s="3"/>
      <c r="BN107" s="3"/>
      <c r="BO107" s="8"/>
      <c r="BP107" s="8"/>
      <c r="BQ107" s="3"/>
      <c r="BR107" s="3"/>
      <c r="BS107" s="3"/>
      <c r="BT107" s="3"/>
      <c r="BU107" s="10"/>
      <c r="BV107" s="3"/>
      <c r="BW107" s="3"/>
      <c r="BX107" s="3"/>
      <c r="BY107" s="3"/>
      <c r="BZ107" s="11"/>
      <c r="CA107" s="3"/>
      <c r="CB107" s="3"/>
      <c r="CC107" s="3"/>
      <c r="CD107" s="3"/>
      <c r="CE107" s="12"/>
      <c r="CF107" s="3"/>
      <c r="CG107" s="3"/>
      <c r="CH107" s="3"/>
      <c r="CI107" s="3"/>
      <c r="CJ107" s="13"/>
      <c r="CK107" s="3"/>
      <c r="CL107" s="3"/>
      <c r="CM107" s="3"/>
      <c r="CN107" s="3"/>
      <c r="CO107" s="14"/>
      <c r="CP107" s="3"/>
      <c r="CQ107" s="3"/>
      <c r="CR107" s="3"/>
      <c r="CS107" s="3"/>
      <c r="CT107" s="15"/>
      <c r="CU107" s="16"/>
      <c r="CV107" s="16"/>
      <c r="CW107" s="16"/>
      <c r="CX107" s="15"/>
      <c r="CY107" s="16"/>
      <c r="CZ107" s="17"/>
    </row>
    <row r="108" spans="1:104">
      <c r="A108" s="19"/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213"/>
      <c r="X108" s="212"/>
      <c r="Y108" s="217"/>
      <c r="Z108" s="5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18"/>
      <c r="AQ108" s="6"/>
      <c r="AR108" s="6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18"/>
      <c r="BE108" s="7"/>
      <c r="BF108" s="7"/>
      <c r="BG108" s="3"/>
      <c r="BH108" s="3"/>
      <c r="BI108" s="3"/>
      <c r="BJ108" s="3"/>
      <c r="BK108" s="3"/>
      <c r="BL108" s="3"/>
      <c r="BM108" s="3"/>
      <c r="BN108" s="3"/>
      <c r="BO108" s="8"/>
      <c r="BP108" s="8"/>
      <c r="BQ108" s="3"/>
      <c r="BR108" s="3"/>
      <c r="BS108" s="3"/>
      <c r="BT108" s="3"/>
      <c r="BU108" s="10"/>
      <c r="BV108" s="3"/>
      <c r="BW108" s="3"/>
      <c r="BX108" s="3"/>
      <c r="BY108" s="3"/>
      <c r="BZ108" s="11"/>
      <c r="CA108" s="3"/>
      <c r="CB108" s="3"/>
      <c r="CC108" s="3"/>
      <c r="CD108" s="3"/>
      <c r="CE108" s="12"/>
      <c r="CF108" s="3"/>
      <c r="CG108" s="3"/>
      <c r="CH108" s="3"/>
      <c r="CI108" s="3"/>
      <c r="CJ108" s="13"/>
      <c r="CK108" s="3"/>
      <c r="CL108" s="3"/>
      <c r="CM108" s="3"/>
      <c r="CN108" s="3"/>
      <c r="CO108" s="14"/>
      <c r="CP108" s="3"/>
      <c r="CQ108" s="3"/>
      <c r="CR108" s="3"/>
      <c r="CS108" s="3"/>
      <c r="CT108" s="15"/>
      <c r="CU108" s="16"/>
      <c r="CV108" s="16"/>
      <c r="CW108" s="16"/>
      <c r="CX108" s="15"/>
      <c r="CY108" s="16"/>
      <c r="CZ108" s="17"/>
    </row>
    <row r="109" spans="1:104" s="118" customFormat="1">
      <c r="A109" s="102"/>
      <c r="B109" s="103"/>
      <c r="C109" s="103"/>
      <c r="D109" s="103"/>
      <c r="E109" s="104"/>
      <c r="F109" s="104"/>
      <c r="G109" s="104"/>
      <c r="H109" s="104"/>
      <c r="I109" s="104"/>
      <c r="J109" s="104"/>
      <c r="K109" s="104"/>
      <c r="L109" s="103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214"/>
      <c r="X109" s="221"/>
      <c r="Y109" s="218"/>
      <c r="Z109" s="105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4"/>
      <c r="AP109" s="106"/>
      <c r="AQ109" s="107"/>
      <c r="AR109" s="107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6"/>
      <c r="BE109" s="108"/>
      <c r="BF109" s="108"/>
      <c r="BG109" s="104"/>
      <c r="BH109" s="104"/>
      <c r="BI109" s="104"/>
      <c r="BJ109" s="104"/>
      <c r="BK109" s="104"/>
      <c r="BL109" s="104"/>
      <c r="BM109" s="104"/>
      <c r="BN109" s="104"/>
      <c r="BO109" s="109"/>
      <c r="BP109" s="109"/>
      <c r="BQ109" s="104"/>
      <c r="BR109" s="104"/>
      <c r="BS109" s="104"/>
      <c r="BT109" s="104"/>
      <c r="BU109" s="110"/>
      <c r="BV109" s="104"/>
      <c r="BW109" s="104"/>
      <c r="BX109" s="104"/>
      <c r="BY109" s="104"/>
      <c r="BZ109" s="111"/>
      <c r="CA109" s="104"/>
      <c r="CB109" s="104"/>
      <c r="CC109" s="104"/>
      <c r="CD109" s="104"/>
      <c r="CE109" s="112"/>
      <c r="CF109" s="104"/>
      <c r="CG109" s="104"/>
      <c r="CH109" s="104"/>
      <c r="CI109" s="104"/>
      <c r="CJ109" s="113"/>
      <c r="CK109" s="104"/>
      <c r="CL109" s="104"/>
      <c r="CM109" s="104"/>
      <c r="CN109" s="104"/>
      <c r="CO109" s="114"/>
      <c r="CP109" s="104"/>
      <c r="CQ109" s="104"/>
      <c r="CR109" s="104"/>
      <c r="CS109" s="104"/>
      <c r="CT109" s="115"/>
      <c r="CU109" s="116"/>
      <c r="CV109" s="116"/>
      <c r="CW109" s="116"/>
      <c r="CX109" s="115"/>
      <c r="CY109" s="116"/>
      <c r="CZ109" s="117"/>
    </row>
    <row r="110" spans="1:104">
      <c r="A110" s="19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213"/>
      <c r="X110" s="212"/>
      <c r="Y110" s="217"/>
      <c r="Z110" s="5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18"/>
      <c r="AQ110" s="6"/>
      <c r="AR110" s="6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18"/>
      <c r="BE110" s="7"/>
      <c r="BF110" s="7"/>
      <c r="BG110" s="3"/>
      <c r="BH110" s="3"/>
      <c r="BI110" s="3"/>
      <c r="BJ110" s="3"/>
      <c r="BK110" s="3"/>
      <c r="BL110" s="3"/>
      <c r="BM110" s="3"/>
      <c r="BN110" s="3"/>
      <c r="BO110" s="8"/>
      <c r="BP110" s="8"/>
      <c r="BQ110" s="3"/>
      <c r="BR110" s="3"/>
      <c r="BS110" s="3"/>
      <c r="BT110" s="3"/>
      <c r="BU110" s="10"/>
      <c r="BV110" s="3"/>
      <c r="BW110" s="3"/>
      <c r="BX110" s="3"/>
      <c r="BY110" s="3"/>
      <c r="BZ110" s="11"/>
      <c r="CA110" s="3"/>
      <c r="CB110" s="3"/>
      <c r="CC110" s="3"/>
      <c r="CD110" s="3"/>
      <c r="CE110" s="12"/>
      <c r="CF110" s="3"/>
      <c r="CG110" s="3"/>
      <c r="CH110" s="3"/>
      <c r="CI110" s="3"/>
      <c r="CJ110" s="13"/>
      <c r="CK110" s="3"/>
      <c r="CL110" s="3"/>
      <c r="CM110" s="3"/>
      <c r="CN110" s="3"/>
      <c r="CO110" s="14"/>
      <c r="CP110" s="3"/>
      <c r="CQ110" s="3"/>
      <c r="CR110" s="3"/>
      <c r="CS110" s="3"/>
      <c r="CT110" s="15"/>
      <c r="CU110" s="16"/>
      <c r="CV110" s="16"/>
      <c r="CW110" s="16"/>
      <c r="CX110" s="15"/>
      <c r="CY110" s="16"/>
      <c r="CZ110" s="17"/>
    </row>
    <row r="111" spans="1:104">
      <c r="A111" s="19"/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213"/>
      <c r="X111" s="212"/>
      <c r="Y111" s="217"/>
      <c r="Z111" s="5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18"/>
      <c r="AQ111" s="6"/>
      <c r="AR111" s="6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18"/>
      <c r="BE111" s="7"/>
      <c r="BF111" s="7"/>
      <c r="BG111" s="3"/>
      <c r="BH111" s="3"/>
      <c r="BI111" s="3"/>
      <c r="BJ111" s="3"/>
      <c r="BK111" s="3"/>
      <c r="BL111" s="3"/>
      <c r="BM111" s="3"/>
      <c r="BN111" s="3"/>
      <c r="BO111" s="8"/>
      <c r="BP111" s="8"/>
      <c r="BQ111" s="3"/>
      <c r="BR111" s="3"/>
      <c r="BS111" s="3"/>
      <c r="BT111" s="3"/>
      <c r="BU111" s="10"/>
      <c r="BV111" s="3"/>
      <c r="BW111" s="3"/>
      <c r="BX111" s="3"/>
      <c r="BY111" s="3"/>
      <c r="BZ111" s="11"/>
      <c r="CA111" s="3"/>
      <c r="CB111" s="3"/>
      <c r="CC111" s="3"/>
      <c r="CD111" s="3"/>
      <c r="CE111" s="12"/>
      <c r="CF111" s="3"/>
      <c r="CG111" s="3"/>
      <c r="CH111" s="3"/>
      <c r="CI111" s="3"/>
      <c r="CJ111" s="13"/>
      <c r="CK111" s="3"/>
      <c r="CL111" s="3"/>
      <c r="CM111" s="3"/>
      <c r="CN111" s="3"/>
      <c r="CO111" s="14"/>
      <c r="CP111" s="3"/>
      <c r="CQ111" s="3"/>
      <c r="CR111" s="3"/>
      <c r="CS111" s="3"/>
      <c r="CT111" s="15"/>
      <c r="CU111" s="16"/>
      <c r="CV111" s="16"/>
      <c r="CW111" s="16"/>
      <c r="CX111" s="15"/>
      <c r="CY111" s="16"/>
      <c r="CZ111" s="17"/>
    </row>
    <row r="112" spans="1:104">
      <c r="A112" s="19"/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213"/>
      <c r="X112" s="212"/>
      <c r="Y112" s="217"/>
      <c r="Z112" s="5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18"/>
      <c r="AQ112" s="6"/>
      <c r="AR112" s="6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18"/>
      <c r="BE112" s="7"/>
      <c r="BF112" s="7"/>
      <c r="BG112" s="3"/>
      <c r="BH112" s="3"/>
      <c r="BI112" s="3"/>
      <c r="BJ112" s="3"/>
      <c r="BK112" s="3"/>
      <c r="BL112" s="3"/>
      <c r="BM112" s="3"/>
      <c r="BN112" s="3"/>
      <c r="BO112" s="8"/>
      <c r="BP112" s="8"/>
      <c r="BQ112" s="3"/>
      <c r="BR112" s="3"/>
      <c r="BS112" s="3"/>
      <c r="BT112" s="3"/>
      <c r="BU112" s="10"/>
      <c r="BV112" s="3"/>
      <c r="BW112" s="3"/>
      <c r="BX112" s="3"/>
      <c r="BY112" s="3"/>
      <c r="BZ112" s="11"/>
      <c r="CA112" s="3"/>
      <c r="CB112" s="3"/>
      <c r="CC112" s="3"/>
      <c r="CD112" s="3"/>
      <c r="CE112" s="12"/>
      <c r="CF112" s="3"/>
      <c r="CG112" s="3"/>
      <c r="CH112" s="3"/>
      <c r="CI112" s="3"/>
      <c r="CJ112" s="13"/>
      <c r="CK112" s="3"/>
      <c r="CL112" s="3"/>
      <c r="CM112" s="3"/>
      <c r="CN112" s="3"/>
      <c r="CO112" s="14"/>
      <c r="CP112" s="3"/>
      <c r="CQ112" s="3"/>
      <c r="CR112" s="3"/>
      <c r="CS112" s="3"/>
      <c r="CT112" s="15"/>
      <c r="CU112" s="16"/>
      <c r="CV112" s="16"/>
      <c r="CW112" s="16"/>
      <c r="CX112" s="15"/>
      <c r="CY112" s="16"/>
      <c r="CZ112" s="17"/>
    </row>
    <row r="113" spans="1:116">
      <c r="A113" s="19"/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213"/>
      <c r="X113" s="212"/>
      <c r="Y113" s="217"/>
      <c r="Z113" s="5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18"/>
      <c r="AQ113" s="6"/>
      <c r="AR113" s="6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18"/>
      <c r="BE113" s="7"/>
      <c r="BF113" s="7"/>
      <c r="BG113" s="3"/>
      <c r="BH113" s="3"/>
      <c r="BI113" s="3"/>
      <c r="BJ113" s="3"/>
      <c r="BK113" s="3"/>
      <c r="BL113" s="3"/>
      <c r="BM113" s="3"/>
      <c r="BN113" s="3"/>
      <c r="BO113" s="8"/>
      <c r="BP113" s="8"/>
      <c r="BQ113" s="3"/>
      <c r="BR113" s="3"/>
      <c r="BS113" s="3"/>
      <c r="BT113" s="3"/>
      <c r="BU113" s="10"/>
      <c r="BV113" s="3"/>
      <c r="BW113" s="3"/>
      <c r="BX113" s="3"/>
      <c r="BY113" s="3"/>
      <c r="BZ113" s="11"/>
      <c r="CA113" s="3"/>
      <c r="CB113" s="3"/>
      <c r="CC113" s="3"/>
      <c r="CD113" s="3"/>
      <c r="CE113" s="12"/>
      <c r="CF113" s="3"/>
      <c r="CG113" s="3"/>
      <c r="CH113" s="3"/>
      <c r="CI113" s="3"/>
      <c r="CJ113" s="13"/>
      <c r="CK113" s="3"/>
      <c r="CL113" s="3"/>
      <c r="CM113" s="3"/>
      <c r="CN113" s="3"/>
      <c r="CO113" s="14"/>
      <c r="CP113" s="3"/>
      <c r="CQ113" s="3"/>
      <c r="CR113" s="3"/>
      <c r="CS113" s="3"/>
      <c r="CT113" s="15"/>
      <c r="CU113" s="16"/>
      <c r="CV113" s="16"/>
      <c r="CW113" s="16"/>
      <c r="CX113" s="15"/>
      <c r="CY113" s="16"/>
      <c r="CZ113" s="17"/>
    </row>
    <row r="114" spans="1:116">
      <c r="A114" s="19"/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213"/>
      <c r="X114" s="212"/>
      <c r="Y114" s="217"/>
      <c r="Z114" s="5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18"/>
      <c r="AQ114" s="6"/>
      <c r="AR114" s="6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18"/>
      <c r="BE114" s="7"/>
      <c r="BF114" s="7"/>
      <c r="BG114" s="3"/>
      <c r="BH114" s="3"/>
      <c r="BI114" s="3"/>
      <c r="BJ114" s="3"/>
      <c r="BK114" s="3"/>
      <c r="BL114" s="3"/>
      <c r="BM114" s="3"/>
      <c r="BN114" s="3"/>
      <c r="BO114" s="8"/>
      <c r="BP114" s="8"/>
      <c r="BQ114" s="3"/>
      <c r="BR114" s="3"/>
      <c r="BS114" s="3"/>
      <c r="BT114" s="3"/>
      <c r="BU114" s="10"/>
      <c r="BV114" s="3"/>
      <c r="BW114" s="3"/>
      <c r="BX114" s="3"/>
      <c r="BY114" s="3"/>
      <c r="BZ114" s="11"/>
      <c r="CA114" s="3"/>
      <c r="CB114" s="3"/>
      <c r="CC114" s="3"/>
      <c r="CD114" s="3"/>
      <c r="CE114" s="12"/>
      <c r="CF114" s="3"/>
      <c r="CG114" s="3"/>
      <c r="CH114" s="3"/>
      <c r="CI114" s="3"/>
      <c r="CJ114" s="13"/>
      <c r="CK114" s="3"/>
      <c r="CL114" s="3"/>
      <c r="CM114" s="3"/>
      <c r="CN114" s="3"/>
      <c r="CO114" s="14"/>
      <c r="CP114" s="3"/>
      <c r="CQ114" s="3"/>
      <c r="CR114" s="3"/>
      <c r="CS114" s="3"/>
      <c r="CT114" s="15"/>
      <c r="CU114" s="16"/>
      <c r="CV114" s="16"/>
      <c r="CW114" s="16"/>
      <c r="CX114" s="15"/>
      <c r="CY114" s="16"/>
      <c r="CZ114" s="17"/>
    </row>
    <row r="115" spans="1:116">
      <c r="A115" s="19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213"/>
      <c r="X115" s="212"/>
      <c r="Y115" s="217"/>
      <c r="Z115" s="5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18"/>
      <c r="AQ115" s="6"/>
      <c r="AR115" s="6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18"/>
      <c r="BE115" s="7"/>
      <c r="BF115" s="7"/>
      <c r="BG115" s="3"/>
      <c r="BH115" s="3"/>
      <c r="BI115" s="3"/>
      <c r="BJ115" s="3"/>
      <c r="BK115" s="3"/>
      <c r="BL115" s="3"/>
      <c r="BM115" s="3"/>
      <c r="BN115" s="3"/>
      <c r="BO115" s="8"/>
      <c r="BP115" s="8"/>
      <c r="BQ115" s="3"/>
      <c r="BR115" s="3"/>
      <c r="BS115" s="3"/>
      <c r="BT115" s="3"/>
      <c r="BU115" s="10"/>
      <c r="BV115" s="3"/>
      <c r="BW115" s="3"/>
      <c r="BX115" s="3"/>
      <c r="BY115" s="3"/>
      <c r="BZ115" s="11"/>
      <c r="CA115" s="3"/>
      <c r="CB115" s="3"/>
      <c r="CC115" s="3"/>
      <c r="CD115" s="3"/>
      <c r="CE115" s="12"/>
      <c r="CF115" s="3"/>
      <c r="CG115" s="3"/>
      <c r="CH115" s="3"/>
      <c r="CI115" s="3"/>
      <c r="CJ115" s="13"/>
      <c r="CK115" s="3"/>
      <c r="CL115" s="3"/>
      <c r="CM115" s="3"/>
      <c r="CN115" s="3"/>
      <c r="CO115" s="14"/>
      <c r="CP115" s="3"/>
      <c r="CQ115" s="3"/>
      <c r="CR115" s="3"/>
      <c r="CS115" s="3"/>
      <c r="CT115" s="15"/>
      <c r="CU115" s="16"/>
      <c r="CV115" s="16"/>
      <c r="CW115" s="16"/>
      <c r="CX115" s="15"/>
      <c r="CY115" s="16"/>
      <c r="CZ115" s="17"/>
    </row>
    <row r="116" spans="1:116">
      <c r="A116" s="19"/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213"/>
      <c r="X116" s="212"/>
      <c r="Y116" s="217"/>
      <c r="Z116" s="5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18"/>
      <c r="AQ116" s="6"/>
      <c r="AR116" s="6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18"/>
      <c r="BE116" s="7"/>
      <c r="BF116" s="7"/>
      <c r="BG116" s="3"/>
      <c r="BH116" s="3"/>
      <c r="BI116" s="3"/>
      <c r="BJ116" s="3"/>
      <c r="BK116" s="3"/>
      <c r="BL116" s="3"/>
      <c r="BM116" s="3"/>
      <c r="BN116" s="3"/>
      <c r="BO116" s="8"/>
      <c r="BP116" s="8"/>
      <c r="BQ116" s="3"/>
      <c r="BR116" s="3"/>
      <c r="BS116" s="3"/>
      <c r="BT116" s="3"/>
      <c r="BU116" s="10"/>
      <c r="BV116" s="3"/>
      <c r="BW116" s="3"/>
      <c r="BX116" s="3"/>
      <c r="BY116" s="3"/>
      <c r="BZ116" s="11"/>
      <c r="CA116" s="3"/>
      <c r="CB116" s="3"/>
      <c r="CC116" s="3"/>
      <c r="CD116" s="3"/>
      <c r="CE116" s="12"/>
      <c r="CF116" s="3"/>
      <c r="CG116" s="3"/>
      <c r="CH116" s="3"/>
      <c r="CI116" s="3"/>
      <c r="CJ116" s="13"/>
      <c r="CK116" s="3"/>
      <c r="CL116" s="3"/>
      <c r="CM116" s="3"/>
      <c r="CN116" s="3"/>
      <c r="CO116" s="14"/>
      <c r="CP116" s="3"/>
      <c r="CQ116" s="3"/>
      <c r="CR116" s="3"/>
      <c r="CS116" s="3"/>
      <c r="CT116" s="15"/>
      <c r="CU116" s="16"/>
      <c r="CV116" s="16"/>
      <c r="CW116" s="16"/>
      <c r="CX116" s="15"/>
      <c r="CY116" s="16"/>
      <c r="CZ116" s="17"/>
    </row>
    <row r="117" spans="1:116">
      <c r="A117" s="19"/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213"/>
      <c r="X117" s="212"/>
      <c r="Y117" s="217"/>
      <c r="Z117" s="5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18"/>
      <c r="AQ117" s="6"/>
      <c r="AR117" s="6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18"/>
      <c r="BE117" s="7"/>
      <c r="BF117" s="7"/>
      <c r="BG117" s="3"/>
      <c r="BH117" s="3"/>
      <c r="BI117" s="3"/>
      <c r="BJ117" s="3"/>
      <c r="BK117" s="3"/>
      <c r="BL117" s="3"/>
      <c r="BM117" s="3"/>
      <c r="BN117" s="3"/>
      <c r="BO117" s="8"/>
      <c r="BP117" s="8"/>
      <c r="BQ117" s="3"/>
      <c r="BR117" s="3"/>
      <c r="BS117" s="3"/>
      <c r="BT117" s="3"/>
      <c r="BU117" s="10"/>
      <c r="BV117" s="3"/>
      <c r="BW117" s="3"/>
      <c r="BX117" s="3"/>
      <c r="BY117" s="3"/>
      <c r="BZ117" s="11"/>
      <c r="CA117" s="3"/>
      <c r="CB117" s="3"/>
      <c r="CC117" s="3"/>
      <c r="CD117" s="3"/>
      <c r="CE117" s="12"/>
      <c r="CF117" s="3"/>
      <c r="CG117" s="3"/>
      <c r="CH117" s="3"/>
      <c r="CI117" s="3"/>
      <c r="CJ117" s="13"/>
      <c r="CK117" s="3"/>
      <c r="CL117" s="3"/>
      <c r="CM117" s="3"/>
      <c r="CN117" s="3"/>
      <c r="CO117" s="14"/>
      <c r="CP117" s="3"/>
      <c r="CQ117" s="3"/>
      <c r="CR117" s="3"/>
      <c r="CS117" s="3"/>
      <c r="CT117" s="15"/>
      <c r="CU117" s="16"/>
      <c r="CV117" s="16"/>
      <c r="CW117" s="16"/>
      <c r="CX117" s="15"/>
      <c r="CY117" s="16"/>
      <c r="CZ117" s="17"/>
    </row>
    <row r="118" spans="1:116">
      <c r="A118" s="19"/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213"/>
      <c r="X118" s="212"/>
      <c r="Y118" s="217"/>
      <c r="Z118" s="5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18"/>
      <c r="AQ118" s="6"/>
      <c r="AR118" s="6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18"/>
      <c r="BE118" s="7"/>
      <c r="BF118" s="7"/>
      <c r="BG118" s="3"/>
      <c r="BH118" s="3"/>
      <c r="BI118" s="3"/>
      <c r="BJ118" s="3"/>
      <c r="BK118" s="3"/>
      <c r="BL118" s="3"/>
      <c r="BM118" s="3"/>
      <c r="BN118" s="3"/>
      <c r="BO118" s="8"/>
      <c r="BP118" s="8"/>
      <c r="BQ118" s="3"/>
      <c r="BR118" s="3"/>
      <c r="BS118" s="3"/>
      <c r="BT118" s="3"/>
      <c r="BU118" s="10"/>
      <c r="BV118" s="3"/>
      <c r="BW118" s="3"/>
      <c r="BX118" s="3"/>
      <c r="BY118" s="3"/>
      <c r="BZ118" s="11"/>
      <c r="CA118" s="3"/>
      <c r="CB118" s="3"/>
      <c r="CC118" s="3"/>
      <c r="CD118" s="3"/>
      <c r="CE118" s="12"/>
      <c r="CF118" s="3"/>
      <c r="CG118" s="3"/>
      <c r="CH118" s="3"/>
      <c r="CI118" s="3"/>
      <c r="CJ118" s="13"/>
      <c r="CK118" s="3"/>
      <c r="CL118" s="3"/>
      <c r="CM118" s="3"/>
      <c r="CN118" s="3"/>
      <c r="CO118" s="14"/>
      <c r="CP118" s="3"/>
      <c r="CQ118" s="3"/>
      <c r="CR118" s="3"/>
      <c r="CS118" s="3"/>
      <c r="CT118" s="15"/>
      <c r="CU118" s="16"/>
      <c r="CV118" s="16"/>
      <c r="CW118" s="16"/>
      <c r="CX118" s="15"/>
      <c r="CY118" s="16"/>
      <c r="CZ118" s="17"/>
    </row>
    <row r="119" spans="1:116">
      <c r="A119" s="19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213"/>
      <c r="X119" s="212"/>
      <c r="Y119" s="217"/>
      <c r="Z119" s="5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18"/>
      <c r="AQ119" s="6"/>
      <c r="AR119" s="6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18"/>
      <c r="BE119" s="7"/>
      <c r="BF119" s="7"/>
      <c r="BG119" s="3"/>
      <c r="BH119" s="3"/>
      <c r="BI119" s="3"/>
      <c r="BJ119" s="3"/>
      <c r="BK119" s="3"/>
      <c r="BL119" s="3"/>
      <c r="BM119" s="3"/>
      <c r="BN119" s="3"/>
      <c r="BO119" s="8"/>
      <c r="BP119" s="8"/>
      <c r="BQ119" s="3"/>
      <c r="BR119" s="3"/>
      <c r="BS119" s="3"/>
      <c r="BT119" s="3"/>
      <c r="BU119" s="10"/>
      <c r="BV119" s="3"/>
      <c r="BW119" s="3"/>
      <c r="BX119" s="3"/>
      <c r="BY119" s="3"/>
      <c r="BZ119" s="11"/>
      <c r="CA119" s="3"/>
      <c r="CB119" s="3"/>
      <c r="CC119" s="3"/>
      <c r="CD119" s="3"/>
      <c r="CE119" s="12"/>
      <c r="CF119" s="3"/>
      <c r="CG119" s="3"/>
      <c r="CH119" s="3"/>
      <c r="CI119" s="3"/>
      <c r="CJ119" s="13"/>
      <c r="CK119" s="3"/>
      <c r="CL119" s="3"/>
      <c r="CM119" s="3"/>
      <c r="CN119" s="3"/>
      <c r="CO119" s="14"/>
      <c r="CP119" s="3"/>
      <c r="CQ119" s="3"/>
      <c r="CR119" s="3"/>
      <c r="CS119" s="3"/>
      <c r="CT119" s="15"/>
      <c r="CU119" s="16"/>
      <c r="CV119" s="16"/>
      <c r="CW119" s="16"/>
      <c r="CX119" s="15"/>
      <c r="CY119" s="16"/>
      <c r="CZ119" s="17"/>
    </row>
    <row r="120" spans="1:116">
      <c r="A120" s="19"/>
      <c r="B120" s="2"/>
      <c r="C120" s="2"/>
      <c r="D120" s="2"/>
      <c r="E120" s="3"/>
      <c r="F120" s="3"/>
      <c r="G120" s="3"/>
      <c r="H120" s="3"/>
      <c r="I120" s="3"/>
      <c r="J120" s="3"/>
      <c r="K120" s="3"/>
      <c r="L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213"/>
      <c r="X120" s="212"/>
      <c r="Y120" s="217"/>
      <c r="Z120" s="5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18"/>
      <c r="AQ120" s="6"/>
      <c r="AR120" s="6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18"/>
      <c r="BE120" s="7"/>
      <c r="BF120" s="7"/>
      <c r="BG120" s="3"/>
      <c r="BH120" s="3"/>
      <c r="BI120" s="3"/>
      <c r="BJ120" s="3"/>
      <c r="BK120" s="3"/>
      <c r="BL120" s="3"/>
      <c r="BM120" s="3"/>
      <c r="BN120" s="3"/>
      <c r="BO120" s="8"/>
      <c r="BP120" s="8"/>
      <c r="BQ120" s="3"/>
      <c r="BR120" s="3"/>
      <c r="BS120" s="3"/>
      <c r="BT120" s="3"/>
      <c r="BU120" s="10"/>
      <c r="BV120" s="3"/>
      <c r="BW120" s="3"/>
      <c r="BX120" s="3"/>
      <c r="BY120" s="3"/>
      <c r="BZ120" s="11"/>
      <c r="CA120" s="3"/>
      <c r="CB120" s="3"/>
      <c r="CC120" s="3"/>
      <c r="CD120" s="3"/>
      <c r="CE120" s="12"/>
      <c r="CF120" s="3"/>
      <c r="CG120" s="3"/>
      <c r="CH120" s="3"/>
      <c r="CI120" s="3"/>
      <c r="CJ120" s="13"/>
      <c r="CK120" s="3"/>
      <c r="CL120" s="3"/>
      <c r="CM120" s="3"/>
      <c r="CN120" s="3"/>
      <c r="CO120" s="14"/>
      <c r="CP120" s="3"/>
      <c r="CQ120" s="3"/>
      <c r="CR120" s="3"/>
      <c r="CS120" s="3"/>
      <c r="CT120" s="15"/>
      <c r="CU120" s="16"/>
      <c r="CV120" s="16"/>
      <c r="CW120" s="16"/>
      <c r="CX120" s="15"/>
      <c r="CY120" s="16"/>
      <c r="CZ120" s="17"/>
    </row>
    <row r="121" spans="1:116">
      <c r="A121" s="19"/>
      <c r="B121" s="119"/>
      <c r="C121" s="2"/>
      <c r="D121" s="2"/>
      <c r="E121" s="3"/>
      <c r="F121" s="3"/>
      <c r="G121" s="3"/>
      <c r="H121" s="3"/>
      <c r="I121" s="3"/>
      <c r="J121" s="3"/>
      <c r="K121" s="3"/>
      <c r="L121" s="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213"/>
      <c r="X121" s="212"/>
      <c r="Y121" s="217"/>
      <c r="Z121" s="5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18"/>
      <c r="AQ121" s="6"/>
      <c r="AR121" s="6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18"/>
      <c r="BE121" s="7"/>
      <c r="BF121" s="7"/>
      <c r="BG121" s="3"/>
      <c r="BH121" s="3"/>
      <c r="BI121" s="3"/>
      <c r="BJ121" s="3"/>
      <c r="BK121" s="3"/>
      <c r="BL121" s="3"/>
      <c r="BM121" s="3"/>
      <c r="BN121" s="3"/>
      <c r="BO121" s="8"/>
      <c r="BP121" s="8"/>
      <c r="BQ121" s="3"/>
      <c r="BR121" s="3"/>
      <c r="BS121" s="3"/>
      <c r="BT121" s="3"/>
      <c r="BU121" s="10"/>
      <c r="BV121" s="3"/>
      <c r="BW121" s="3"/>
      <c r="BX121" s="3"/>
      <c r="BY121" s="3"/>
      <c r="BZ121" s="11"/>
      <c r="CA121" s="3"/>
      <c r="CB121" s="3"/>
      <c r="CC121" s="3"/>
      <c r="CD121" s="3"/>
      <c r="CE121" s="12"/>
      <c r="CF121" s="3"/>
      <c r="CG121" s="3"/>
      <c r="CH121" s="3"/>
      <c r="CI121" s="3"/>
      <c r="CJ121" s="13"/>
      <c r="CK121" s="3"/>
      <c r="CL121" s="3"/>
      <c r="CM121" s="3"/>
      <c r="CN121" s="3"/>
      <c r="CO121" s="14"/>
      <c r="CP121" s="3"/>
      <c r="CQ121" s="3"/>
      <c r="CR121" s="3"/>
      <c r="CS121" s="3"/>
      <c r="CT121" s="15"/>
      <c r="CU121" s="16"/>
      <c r="CV121" s="16"/>
      <c r="CW121" s="16"/>
      <c r="CX121" s="15"/>
      <c r="CY121" s="16"/>
      <c r="CZ121" s="17"/>
    </row>
    <row r="122" spans="1:116">
      <c r="A122" s="196"/>
      <c r="B122" s="122"/>
      <c r="C122" s="122"/>
      <c r="D122" s="122"/>
      <c r="E122" s="93"/>
      <c r="F122" s="93"/>
      <c r="G122" s="93"/>
      <c r="H122" s="93"/>
      <c r="I122" s="93"/>
      <c r="J122" s="93"/>
      <c r="K122" s="93"/>
      <c r="L122" s="122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215"/>
      <c r="X122" s="212"/>
      <c r="Y122" s="219"/>
      <c r="Z122" s="137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18"/>
      <c r="AQ122" s="138"/>
      <c r="AR122" s="138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18"/>
      <c r="BE122" s="139"/>
      <c r="BF122" s="139"/>
      <c r="BG122" s="93"/>
      <c r="BH122" s="93"/>
      <c r="BI122" s="93"/>
      <c r="BJ122" s="93"/>
      <c r="BK122" s="93"/>
      <c r="BL122" s="93"/>
      <c r="BM122" s="93"/>
      <c r="BN122" s="93"/>
      <c r="BO122" s="140"/>
      <c r="BP122" s="140"/>
      <c r="BQ122" s="93"/>
      <c r="BR122" s="93"/>
      <c r="BS122" s="93"/>
      <c r="BT122" s="93"/>
      <c r="BU122" s="198"/>
      <c r="BV122" s="93"/>
      <c r="BW122" s="93"/>
      <c r="BX122" s="93"/>
      <c r="BY122" s="93"/>
      <c r="BZ122" s="199"/>
      <c r="CA122" s="93"/>
      <c r="CB122" s="93"/>
      <c r="CC122" s="93"/>
      <c r="CD122" s="93"/>
      <c r="CE122" s="200"/>
      <c r="CF122" s="93"/>
      <c r="CG122" s="93"/>
      <c r="CH122" s="93"/>
      <c r="CI122" s="93"/>
      <c r="CJ122" s="201"/>
      <c r="CK122" s="93"/>
      <c r="CL122" s="93"/>
      <c r="CM122" s="93"/>
      <c r="CN122" s="93"/>
      <c r="CO122" s="202"/>
      <c r="CP122" s="93"/>
      <c r="CQ122" s="93"/>
      <c r="CR122" s="93"/>
      <c r="CS122" s="93"/>
      <c r="CT122" s="141"/>
      <c r="CU122" s="142"/>
      <c r="CV122" s="142"/>
      <c r="CW122" s="142"/>
      <c r="CX122" s="141"/>
      <c r="CY122" s="142"/>
      <c r="CZ122" s="184"/>
    </row>
    <row r="123" spans="1:116" s="29" customFormat="1">
      <c r="A123" s="203"/>
      <c r="B123" s="123"/>
      <c r="C123" s="204"/>
      <c r="D123" s="204"/>
      <c r="E123" s="94"/>
      <c r="F123" s="94"/>
      <c r="G123" s="94"/>
      <c r="H123" s="94"/>
      <c r="I123" s="94"/>
      <c r="J123" s="94"/>
      <c r="K123" s="94"/>
      <c r="L123" s="20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216"/>
      <c r="X123" s="212"/>
      <c r="Y123" s="220"/>
      <c r="Z123" s="157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194"/>
      <c r="AQ123" s="158"/>
      <c r="AR123" s="158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194"/>
      <c r="BE123" s="159"/>
      <c r="BF123" s="159"/>
      <c r="BG123" s="94"/>
      <c r="BH123" s="94"/>
      <c r="BI123" s="94"/>
      <c r="BJ123" s="94"/>
      <c r="BK123" s="94"/>
      <c r="BL123" s="94"/>
      <c r="BM123" s="120"/>
      <c r="BN123" s="94"/>
      <c r="BO123" s="160"/>
      <c r="BP123" s="160"/>
      <c r="BQ123" s="94"/>
      <c r="BR123" s="94"/>
      <c r="BS123" s="94"/>
      <c r="BT123" s="94"/>
      <c r="BU123" s="205"/>
      <c r="BV123" s="94"/>
      <c r="BW123" s="94"/>
      <c r="BX123" s="94"/>
      <c r="BY123" s="94"/>
      <c r="BZ123" s="206"/>
      <c r="CA123" s="94"/>
      <c r="CB123" s="94"/>
      <c r="CC123" s="94"/>
      <c r="CD123" s="94"/>
      <c r="CE123" s="207"/>
      <c r="CF123" s="94"/>
      <c r="CG123" s="94"/>
      <c r="CH123" s="94"/>
      <c r="CI123" s="94"/>
      <c r="CJ123" s="208"/>
      <c r="CK123" s="94"/>
      <c r="CL123" s="94"/>
      <c r="CM123" s="94"/>
      <c r="CN123" s="94"/>
      <c r="CO123" s="209"/>
      <c r="CP123" s="94"/>
      <c r="CQ123" s="94"/>
      <c r="CR123" s="94"/>
      <c r="CS123" s="94"/>
      <c r="CT123" s="161"/>
      <c r="CU123" s="162"/>
      <c r="CV123" s="162"/>
      <c r="CW123" s="162"/>
      <c r="CX123" s="161"/>
      <c r="CY123" s="162"/>
      <c r="CZ123" s="193"/>
      <c r="DA123" s="132"/>
      <c r="DB123" s="132"/>
      <c r="DC123" s="132"/>
      <c r="DD123" s="132"/>
      <c r="DE123" s="132"/>
      <c r="DF123" s="132"/>
      <c r="DG123" s="132"/>
      <c r="DH123" s="132"/>
      <c r="DI123" s="132"/>
      <c r="DJ123" s="132"/>
      <c r="DK123" s="132"/>
      <c r="DL123" s="174"/>
    </row>
    <row r="124" spans="1:116" s="29" customFormat="1">
      <c r="A124" s="203"/>
      <c r="B124" s="123"/>
      <c r="C124" s="204"/>
      <c r="D124" s="204"/>
      <c r="E124" s="94"/>
      <c r="F124" s="94"/>
      <c r="G124" s="94"/>
      <c r="H124" s="94"/>
      <c r="I124" s="94"/>
      <c r="J124" s="94"/>
      <c r="K124" s="94"/>
      <c r="L124" s="20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216"/>
      <c r="X124" s="212"/>
      <c r="Y124" s="220"/>
      <c r="Z124" s="157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194"/>
      <c r="AQ124" s="158"/>
      <c r="AR124" s="158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194"/>
      <c r="BE124" s="159"/>
      <c r="BF124" s="159"/>
      <c r="BG124" s="94"/>
      <c r="BH124" s="94"/>
      <c r="BI124" s="94"/>
      <c r="BJ124" s="94"/>
      <c r="BK124" s="94"/>
      <c r="BL124" s="94"/>
      <c r="BM124" s="121"/>
      <c r="BN124" s="94"/>
      <c r="BO124" s="160"/>
      <c r="BP124" s="160"/>
      <c r="BQ124" s="94"/>
      <c r="BR124" s="94"/>
      <c r="BS124" s="94"/>
      <c r="BT124" s="94"/>
      <c r="BU124" s="205"/>
      <c r="BV124" s="94"/>
      <c r="BW124" s="94"/>
      <c r="BX124" s="94"/>
      <c r="BY124" s="94"/>
      <c r="BZ124" s="206"/>
      <c r="CA124" s="94"/>
      <c r="CB124" s="94"/>
      <c r="CC124" s="94"/>
      <c r="CD124" s="94"/>
      <c r="CE124" s="207"/>
      <c r="CF124" s="94"/>
      <c r="CG124" s="94"/>
      <c r="CH124" s="94"/>
      <c r="CI124" s="94"/>
      <c r="CJ124" s="208"/>
      <c r="CK124" s="94"/>
      <c r="CL124" s="94"/>
      <c r="CM124" s="94"/>
      <c r="CN124" s="94"/>
      <c r="CO124" s="209"/>
      <c r="CP124" s="94"/>
      <c r="CQ124" s="94"/>
      <c r="CR124" s="94"/>
      <c r="CS124" s="94"/>
      <c r="CT124" s="161"/>
      <c r="CU124" s="162"/>
      <c r="CV124" s="162"/>
      <c r="CW124" s="162"/>
      <c r="CX124" s="161"/>
      <c r="CY124" s="162"/>
      <c r="CZ124" s="193"/>
      <c r="DA124" s="132"/>
      <c r="DB124" s="132"/>
      <c r="DC124" s="132"/>
      <c r="DD124" s="132"/>
      <c r="DE124" s="132"/>
      <c r="DF124" s="132"/>
      <c r="DG124" s="132"/>
      <c r="DH124" s="132"/>
      <c r="DI124" s="132"/>
      <c r="DJ124" s="132"/>
      <c r="DK124" s="132"/>
      <c r="DL124" s="174"/>
    </row>
    <row r="125" spans="1:116" s="29" customFormat="1">
      <c r="A125" s="203"/>
      <c r="B125" s="123"/>
      <c r="C125" s="204"/>
      <c r="D125" s="204"/>
      <c r="E125" s="94"/>
      <c r="F125" s="94"/>
      <c r="G125" s="94"/>
      <c r="H125" s="94"/>
      <c r="I125" s="94"/>
      <c r="J125" s="94"/>
      <c r="K125" s="94"/>
      <c r="L125" s="20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216"/>
      <c r="X125" s="212"/>
      <c r="Y125" s="220"/>
      <c r="Z125" s="157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194"/>
      <c r="AQ125" s="158"/>
      <c r="AR125" s="158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194"/>
      <c r="BE125" s="159"/>
      <c r="BF125" s="159"/>
      <c r="BG125" s="94"/>
      <c r="BH125" s="94"/>
      <c r="BI125" s="94"/>
      <c r="BJ125" s="94"/>
      <c r="BK125" s="94"/>
      <c r="BL125" s="94"/>
      <c r="BM125" s="121"/>
      <c r="BN125" s="94"/>
      <c r="BO125" s="160"/>
      <c r="BP125" s="160"/>
      <c r="BQ125" s="94"/>
      <c r="BR125" s="94"/>
      <c r="BS125" s="94"/>
      <c r="BT125" s="94"/>
      <c r="BU125" s="205"/>
      <c r="BV125" s="94"/>
      <c r="BW125" s="94"/>
      <c r="BX125" s="94"/>
      <c r="BY125" s="94"/>
      <c r="BZ125" s="206"/>
      <c r="CA125" s="94"/>
      <c r="CB125" s="94"/>
      <c r="CC125" s="94"/>
      <c r="CD125" s="94"/>
      <c r="CE125" s="207"/>
      <c r="CF125" s="94"/>
      <c r="CG125" s="94"/>
      <c r="CH125" s="94"/>
      <c r="CI125" s="94"/>
      <c r="CJ125" s="208"/>
      <c r="CK125" s="94"/>
      <c r="CL125" s="94"/>
      <c r="CM125" s="94"/>
      <c r="CN125" s="94"/>
      <c r="CO125" s="209"/>
      <c r="CP125" s="94"/>
      <c r="CQ125" s="94"/>
      <c r="CR125" s="94"/>
      <c r="CS125" s="94"/>
      <c r="CT125" s="161"/>
      <c r="CU125" s="162"/>
      <c r="CV125" s="162"/>
      <c r="CW125" s="162"/>
      <c r="CX125" s="161"/>
      <c r="CY125" s="162"/>
      <c r="CZ125" s="193"/>
      <c r="DA125" s="132"/>
      <c r="DB125" s="132"/>
      <c r="DC125" s="132"/>
      <c r="DD125" s="132"/>
      <c r="DE125" s="132"/>
      <c r="DF125" s="132"/>
      <c r="DG125" s="132"/>
      <c r="DH125" s="132"/>
      <c r="DI125" s="132"/>
      <c r="DJ125" s="132"/>
      <c r="DK125" s="132"/>
      <c r="DL125" s="174"/>
    </row>
    <row r="126" spans="1:116">
      <c r="DA126" s="132"/>
      <c r="DB126" s="132"/>
      <c r="DC126" s="132"/>
      <c r="DD126" s="132"/>
      <c r="DE126" s="132"/>
      <c r="DF126" s="132"/>
      <c r="DG126" s="132"/>
      <c r="DH126" s="132"/>
      <c r="DI126" s="132"/>
      <c r="DJ126" s="132"/>
      <c r="DK126" s="132"/>
    </row>
    <row r="127" spans="1:116">
      <c r="DA127" s="132"/>
      <c r="DB127" s="132"/>
      <c r="DC127" s="132"/>
      <c r="DD127" s="132"/>
      <c r="DE127" s="132"/>
      <c r="DF127" s="132"/>
      <c r="DG127" s="132"/>
      <c r="DH127" s="132"/>
      <c r="DI127" s="132"/>
      <c r="DJ127" s="132"/>
      <c r="DK127" s="132"/>
    </row>
    <row r="128" spans="1:116">
      <c r="DA128" s="132"/>
      <c r="DB128" s="132"/>
      <c r="DC128" s="132"/>
      <c r="DD128" s="132"/>
      <c r="DE128" s="132"/>
      <c r="DF128" s="132"/>
      <c r="DG128" s="132"/>
      <c r="DH128" s="132"/>
      <c r="DI128" s="132"/>
      <c r="DJ128" s="132"/>
      <c r="DK128" s="132"/>
    </row>
    <row r="130" spans="1:104" ht="14.25" customHeight="1">
      <c r="A130" s="42"/>
      <c r="B130" s="43"/>
      <c r="C130" s="43"/>
      <c r="D130" s="29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5"/>
      <c r="Z130" s="5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6"/>
      <c r="AR130" s="6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7"/>
      <c r="BF130" s="7"/>
      <c r="BG130" s="44"/>
      <c r="BH130" s="44"/>
      <c r="BI130" s="44"/>
      <c r="BJ130" s="44"/>
      <c r="BK130" s="44"/>
      <c r="BL130" s="44"/>
      <c r="BM130" s="44"/>
      <c r="BN130" s="44"/>
      <c r="BO130" s="8"/>
      <c r="BP130" s="8"/>
      <c r="BQ130" s="44"/>
      <c r="BR130" s="44"/>
      <c r="BS130" s="44"/>
      <c r="BT130" s="44"/>
      <c r="BU130" s="45"/>
      <c r="BV130" s="44"/>
      <c r="BW130" s="44"/>
      <c r="BX130" s="44"/>
      <c r="BY130" s="44"/>
      <c r="BZ130" s="46"/>
      <c r="CA130" s="44"/>
      <c r="CB130" s="44"/>
      <c r="CC130" s="44"/>
      <c r="CD130" s="44"/>
      <c r="CE130" s="47"/>
      <c r="CF130" s="44"/>
      <c r="CG130" s="44"/>
      <c r="CH130" s="44"/>
      <c r="CI130" s="44"/>
      <c r="CJ130" s="48"/>
      <c r="CK130" s="44"/>
      <c r="CL130" s="44"/>
      <c r="CM130" s="44"/>
      <c r="CN130" s="44"/>
      <c r="CO130" s="49"/>
      <c r="CP130" s="44"/>
      <c r="CQ130" s="44"/>
      <c r="CR130" s="44"/>
      <c r="CS130" s="44"/>
      <c r="CT130" s="15"/>
      <c r="CU130" s="16"/>
      <c r="CV130" s="16"/>
      <c r="CW130" s="16"/>
      <c r="CX130" s="15"/>
      <c r="CY130" s="16"/>
      <c r="CZ130" s="29"/>
    </row>
    <row r="131" spans="1:104" ht="15" customHeight="1">
      <c r="A131" s="50"/>
      <c r="B131" s="43"/>
      <c r="C131" s="43"/>
      <c r="D131" s="29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5"/>
      <c r="Z131" s="5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6"/>
      <c r="AR131" s="6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7"/>
      <c r="BF131" s="7"/>
      <c r="BG131" s="44"/>
      <c r="BH131" s="44"/>
      <c r="BI131" s="44"/>
      <c r="BJ131" s="44"/>
      <c r="BK131" s="44"/>
      <c r="BL131" s="44"/>
      <c r="BM131" s="44"/>
      <c r="BN131" s="44"/>
      <c r="BO131" s="8"/>
      <c r="BP131" s="8"/>
      <c r="BQ131" s="44"/>
      <c r="BR131" s="44"/>
      <c r="BS131" s="44"/>
      <c r="BT131" s="44"/>
      <c r="BU131" s="45"/>
      <c r="BV131" s="44"/>
      <c r="BW131" s="44"/>
      <c r="BX131" s="44"/>
      <c r="BY131" s="44"/>
      <c r="BZ131" s="46"/>
      <c r="CA131" s="44"/>
      <c r="CB131" s="44"/>
      <c r="CC131" s="44"/>
      <c r="CD131" s="44"/>
      <c r="CE131" s="47"/>
      <c r="CF131" s="44"/>
      <c r="CG131" s="44"/>
      <c r="CH131" s="44"/>
      <c r="CI131" s="44"/>
      <c r="CJ131" s="48"/>
      <c r="CK131" s="44"/>
      <c r="CL131" s="44"/>
      <c r="CM131" s="44"/>
      <c r="CN131" s="44"/>
      <c r="CO131" s="49"/>
      <c r="CP131" s="44"/>
      <c r="CQ131" s="44"/>
      <c r="CR131" s="44"/>
      <c r="CS131" s="44"/>
      <c r="CT131" s="15"/>
      <c r="CU131" s="16"/>
      <c r="CV131" s="16"/>
      <c r="CW131" s="16"/>
      <c r="CX131" s="15"/>
      <c r="CY131" s="16"/>
      <c r="CZ131" s="29"/>
    </row>
    <row r="132" spans="1:104" ht="15" customHeight="1">
      <c r="A132" s="50"/>
      <c r="B132" s="43"/>
      <c r="C132" s="43"/>
      <c r="D132" s="29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5"/>
      <c r="Z132" s="5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6"/>
      <c r="AR132" s="6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7"/>
      <c r="BF132" s="7"/>
      <c r="BG132" s="44"/>
      <c r="BH132" s="44"/>
      <c r="BI132" s="44"/>
      <c r="BJ132" s="44"/>
      <c r="BK132" s="44"/>
      <c r="BL132" s="44"/>
      <c r="BM132" s="44"/>
      <c r="BN132" s="44"/>
      <c r="BO132" s="8"/>
      <c r="BP132" s="8"/>
      <c r="BQ132" s="44"/>
      <c r="BR132" s="44"/>
      <c r="BS132" s="44"/>
      <c r="BT132" s="44"/>
      <c r="BU132" s="45"/>
      <c r="BV132" s="44"/>
      <c r="BW132" s="44"/>
      <c r="BX132" s="44"/>
      <c r="BY132" s="44"/>
      <c r="BZ132" s="46"/>
      <c r="CA132" s="44"/>
      <c r="CB132" s="44"/>
      <c r="CC132" s="44"/>
      <c r="CD132" s="44"/>
      <c r="CE132" s="47"/>
      <c r="CF132" s="44"/>
      <c r="CG132" s="44"/>
      <c r="CH132" s="44"/>
      <c r="CI132" s="44"/>
      <c r="CJ132" s="48"/>
      <c r="CK132" s="44"/>
      <c r="CL132" s="44"/>
      <c r="CM132" s="44"/>
      <c r="CN132" s="44"/>
      <c r="CO132" s="49"/>
      <c r="CP132" s="44"/>
      <c r="CQ132" s="44"/>
      <c r="CR132" s="44"/>
      <c r="CS132" s="44"/>
      <c r="CT132" s="15"/>
      <c r="CU132" s="16"/>
      <c r="CV132" s="16"/>
      <c r="CW132" s="16"/>
      <c r="CX132" s="15"/>
      <c r="CY132" s="16"/>
      <c r="CZ132" s="29"/>
    </row>
    <row r="133" spans="1:104" ht="15" customHeight="1">
      <c r="A133" s="50"/>
      <c r="B133" s="43"/>
      <c r="C133" s="43"/>
      <c r="D133" s="29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5"/>
      <c r="Z133" s="5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6"/>
      <c r="AR133" s="6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7"/>
      <c r="BF133" s="7"/>
      <c r="BG133" s="44"/>
      <c r="BH133" s="44"/>
      <c r="BI133" s="44"/>
      <c r="BJ133" s="44"/>
      <c r="BK133" s="44"/>
      <c r="BL133" s="44"/>
      <c r="BM133" s="44"/>
      <c r="BN133" s="44"/>
      <c r="BO133" s="8"/>
      <c r="BP133" s="8"/>
      <c r="BQ133" s="44"/>
      <c r="BR133" s="44"/>
      <c r="BS133" s="44"/>
      <c r="BT133" s="44"/>
      <c r="BU133" s="45"/>
      <c r="BV133" s="44"/>
      <c r="BW133" s="44"/>
      <c r="BX133" s="44"/>
      <c r="BY133" s="44"/>
      <c r="BZ133" s="46"/>
      <c r="CA133" s="44"/>
      <c r="CB133" s="44"/>
      <c r="CC133" s="44"/>
      <c r="CD133" s="44"/>
      <c r="CE133" s="47"/>
      <c r="CF133" s="44"/>
      <c r="CG133" s="44"/>
      <c r="CH133" s="44"/>
      <c r="CI133" s="44"/>
      <c r="CJ133" s="48"/>
      <c r="CK133" s="44"/>
      <c r="CL133" s="44"/>
      <c r="CM133" s="44"/>
      <c r="CN133" s="44"/>
      <c r="CO133" s="49"/>
      <c r="CP133" s="44"/>
      <c r="CQ133" s="44"/>
      <c r="CR133" s="44"/>
      <c r="CS133" s="44"/>
      <c r="CT133" s="15"/>
      <c r="CU133" s="16"/>
      <c r="CV133" s="16"/>
      <c r="CW133" s="16"/>
      <c r="CX133" s="15"/>
      <c r="CY133" s="16"/>
      <c r="CZ133" s="29"/>
    </row>
    <row r="134" spans="1:104" ht="15" customHeight="1">
      <c r="A134" s="50"/>
      <c r="B134" s="43"/>
      <c r="C134" s="43"/>
      <c r="D134" s="29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5"/>
      <c r="Z134" s="5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6"/>
      <c r="AR134" s="6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7"/>
      <c r="BF134" s="7"/>
      <c r="BG134" s="44"/>
      <c r="BH134" s="44"/>
      <c r="BI134" s="44"/>
      <c r="BJ134" s="44"/>
      <c r="BK134" s="44"/>
      <c r="BL134" s="44"/>
      <c r="BM134" s="44"/>
      <c r="BN134" s="44"/>
      <c r="BO134" s="8"/>
      <c r="BP134" s="8"/>
      <c r="BQ134" s="44"/>
      <c r="BR134" s="44"/>
      <c r="BS134" s="44"/>
      <c r="BT134" s="44"/>
      <c r="BU134" s="45"/>
      <c r="BV134" s="44"/>
      <c r="BW134" s="44"/>
      <c r="BX134" s="44"/>
      <c r="BY134" s="44"/>
      <c r="BZ134" s="46"/>
      <c r="CA134" s="44"/>
      <c r="CB134" s="44"/>
      <c r="CC134" s="44"/>
      <c r="CD134" s="44"/>
      <c r="CE134" s="47"/>
      <c r="CF134" s="44"/>
      <c r="CG134" s="44"/>
      <c r="CH134" s="44"/>
      <c r="CI134" s="44"/>
      <c r="CJ134" s="48"/>
      <c r="CK134" s="44"/>
      <c r="CL134" s="44"/>
      <c r="CM134" s="44"/>
      <c r="CN134" s="44"/>
      <c r="CO134" s="49"/>
      <c r="CP134" s="44"/>
      <c r="CQ134" s="44"/>
      <c r="CR134" s="44"/>
      <c r="CS134" s="44"/>
      <c r="CT134" s="15"/>
      <c r="CU134" s="16"/>
      <c r="CV134" s="16"/>
      <c r="CW134" s="16"/>
      <c r="CX134" s="15"/>
      <c r="CY134" s="16"/>
      <c r="CZ134" s="29"/>
    </row>
    <row r="135" spans="1:104" ht="15" customHeight="1">
      <c r="A135" s="50"/>
      <c r="B135" s="43"/>
      <c r="C135" s="43"/>
      <c r="D135" s="29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5"/>
      <c r="Z135" s="5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6"/>
      <c r="AR135" s="6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7"/>
      <c r="BF135" s="7"/>
      <c r="BG135" s="44"/>
      <c r="BH135" s="44"/>
      <c r="BI135" s="44"/>
      <c r="BJ135" s="44"/>
      <c r="BK135" s="44"/>
      <c r="BL135" s="44"/>
      <c r="BM135" s="44"/>
      <c r="BN135" s="44"/>
      <c r="BO135" s="8"/>
      <c r="BP135" s="8"/>
      <c r="BQ135" s="44"/>
      <c r="BR135" s="44"/>
      <c r="BS135" s="44"/>
      <c r="BT135" s="44"/>
      <c r="BU135" s="45"/>
      <c r="BV135" s="44"/>
      <c r="BW135" s="44"/>
      <c r="BX135" s="44"/>
      <c r="BY135" s="44"/>
      <c r="BZ135" s="46"/>
      <c r="CA135" s="44"/>
      <c r="CB135" s="44"/>
      <c r="CC135" s="44"/>
      <c r="CD135" s="44"/>
      <c r="CE135" s="47"/>
      <c r="CF135" s="44"/>
      <c r="CG135" s="44"/>
      <c r="CH135" s="44"/>
      <c r="CI135" s="44"/>
      <c r="CJ135" s="48"/>
      <c r="CK135" s="44"/>
      <c r="CL135" s="44"/>
      <c r="CM135" s="44"/>
      <c r="CN135" s="44"/>
      <c r="CO135" s="49"/>
      <c r="CP135" s="44"/>
      <c r="CQ135" s="44"/>
      <c r="CR135" s="44"/>
      <c r="CS135" s="44"/>
      <c r="CT135" s="15"/>
      <c r="CU135" s="16"/>
      <c r="CV135" s="16"/>
      <c r="CW135" s="16"/>
      <c r="CX135" s="15"/>
      <c r="CY135" s="16"/>
      <c r="CZ135" s="29"/>
    </row>
    <row r="136" spans="1:104" ht="15" customHeight="1">
      <c r="A136" s="50"/>
      <c r="B136" s="43"/>
      <c r="C136" s="43"/>
      <c r="D136" s="29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5"/>
      <c r="Z136" s="5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6"/>
      <c r="AR136" s="6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7"/>
      <c r="BF136" s="7"/>
      <c r="BG136" s="44"/>
      <c r="BH136" s="44"/>
      <c r="BI136" s="44"/>
      <c r="BJ136" s="44"/>
      <c r="BK136" s="44"/>
      <c r="BL136" s="44"/>
      <c r="BM136" s="44"/>
      <c r="BN136" s="44"/>
      <c r="BO136" s="8"/>
      <c r="BP136" s="8"/>
      <c r="BQ136" s="44"/>
      <c r="BR136" s="44"/>
      <c r="BS136" s="44"/>
      <c r="BT136" s="44"/>
      <c r="BU136" s="45"/>
      <c r="BV136" s="44"/>
      <c r="BW136" s="44"/>
      <c r="BX136" s="44"/>
      <c r="BY136" s="44"/>
      <c r="BZ136" s="46"/>
      <c r="CA136" s="44"/>
      <c r="CB136" s="44"/>
      <c r="CC136" s="44"/>
      <c r="CD136" s="44"/>
      <c r="CE136" s="47"/>
      <c r="CF136" s="44"/>
      <c r="CG136" s="44"/>
      <c r="CH136" s="44"/>
      <c r="CI136" s="44"/>
      <c r="CJ136" s="48"/>
      <c r="CK136" s="44"/>
      <c r="CL136" s="44"/>
      <c r="CM136" s="44"/>
      <c r="CN136" s="44"/>
      <c r="CO136" s="49"/>
      <c r="CP136" s="44"/>
      <c r="CQ136" s="44"/>
      <c r="CR136" s="44"/>
      <c r="CS136" s="44"/>
      <c r="CT136" s="15"/>
      <c r="CU136" s="16"/>
      <c r="CV136" s="16"/>
      <c r="CW136" s="16"/>
      <c r="CX136" s="15"/>
      <c r="CY136" s="16"/>
      <c r="CZ136" s="29"/>
    </row>
    <row r="137" spans="1:104" ht="15" customHeight="1">
      <c r="A137" s="50"/>
      <c r="B137" s="43"/>
      <c r="C137" s="43"/>
      <c r="D137" s="29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5"/>
      <c r="Z137" s="5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6"/>
      <c r="AR137" s="6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7"/>
      <c r="BF137" s="7"/>
      <c r="BG137" s="44"/>
      <c r="BH137" s="44"/>
      <c r="BI137" s="44"/>
      <c r="BJ137" s="44"/>
      <c r="BK137" s="44"/>
      <c r="BL137" s="44"/>
      <c r="BM137" s="44"/>
      <c r="BN137" s="44"/>
      <c r="BO137" s="8"/>
      <c r="BP137" s="8"/>
      <c r="BQ137" s="44"/>
      <c r="BR137" s="44"/>
      <c r="BS137" s="44"/>
      <c r="BT137" s="44"/>
      <c r="BU137" s="45"/>
      <c r="BV137" s="44"/>
      <c r="BW137" s="44"/>
      <c r="BX137" s="44"/>
      <c r="BY137" s="44"/>
      <c r="BZ137" s="46"/>
      <c r="CA137" s="44"/>
      <c r="CB137" s="44"/>
      <c r="CC137" s="44"/>
      <c r="CD137" s="44"/>
      <c r="CE137" s="47"/>
      <c r="CF137" s="44"/>
      <c r="CG137" s="44"/>
      <c r="CH137" s="44"/>
      <c r="CI137" s="44"/>
      <c r="CJ137" s="48"/>
      <c r="CK137" s="44"/>
      <c r="CL137" s="44"/>
      <c r="CM137" s="44"/>
      <c r="CN137" s="44"/>
      <c r="CO137" s="49"/>
      <c r="CP137" s="44"/>
      <c r="CQ137" s="44"/>
      <c r="CR137" s="44"/>
      <c r="CS137" s="44"/>
      <c r="CT137" s="15"/>
      <c r="CU137" s="16"/>
      <c r="CV137" s="16"/>
      <c r="CW137" s="16"/>
      <c r="CX137" s="15"/>
      <c r="CY137" s="16"/>
      <c r="CZ137" s="29"/>
    </row>
    <row r="138" spans="1:104" ht="15" customHeight="1">
      <c r="A138" s="50"/>
      <c r="B138" s="43"/>
      <c r="C138" s="43"/>
      <c r="D138" s="29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5"/>
      <c r="Z138" s="5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6"/>
      <c r="AR138" s="6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7"/>
      <c r="BF138" s="7"/>
      <c r="BG138" s="44"/>
      <c r="BH138" s="44"/>
      <c r="BI138" s="44"/>
      <c r="BJ138" s="44"/>
      <c r="BK138" s="44"/>
      <c r="BL138" s="44"/>
      <c r="BM138" s="44"/>
      <c r="BN138" s="44"/>
      <c r="BO138" s="8"/>
      <c r="BP138" s="8"/>
      <c r="BQ138" s="44"/>
      <c r="BR138" s="44"/>
      <c r="BS138" s="44"/>
      <c r="BT138" s="44"/>
      <c r="BU138" s="45"/>
      <c r="BV138" s="44"/>
      <c r="BW138" s="44"/>
      <c r="BX138" s="44"/>
      <c r="BY138" s="44"/>
      <c r="BZ138" s="46"/>
      <c r="CA138" s="44"/>
      <c r="CB138" s="44"/>
      <c r="CC138" s="44"/>
      <c r="CD138" s="44"/>
      <c r="CE138" s="47"/>
      <c r="CF138" s="44"/>
      <c r="CG138" s="44"/>
      <c r="CH138" s="44"/>
      <c r="CI138" s="44"/>
      <c r="CJ138" s="48"/>
      <c r="CK138" s="44"/>
      <c r="CL138" s="44"/>
      <c r="CM138" s="44"/>
      <c r="CN138" s="44"/>
      <c r="CO138" s="49"/>
      <c r="CP138" s="44"/>
      <c r="CQ138" s="44"/>
      <c r="CR138" s="44"/>
      <c r="CS138" s="44"/>
      <c r="CT138" s="15"/>
      <c r="CU138" s="16"/>
      <c r="CV138" s="16"/>
      <c r="CW138" s="16"/>
      <c r="CX138" s="15"/>
      <c r="CY138" s="16"/>
      <c r="CZ138" s="29"/>
    </row>
    <row r="139" spans="1:104" ht="15" customHeight="1">
      <c r="A139" s="50"/>
      <c r="B139" s="43"/>
      <c r="C139" s="43"/>
      <c r="D139" s="29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5"/>
      <c r="Z139" s="5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6"/>
      <c r="AR139" s="6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7"/>
      <c r="BF139" s="7"/>
      <c r="BG139" s="44"/>
      <c r="BH139" s="44"/>
      <c r="BI139" s="44"/>
      <c r="BJ139" s="44"/>
      <c r="BK139" s="44"/>
      <c r="BL139" s="44"/>
      <c r="BM139" s="44"/>
      <c r="BN139" s="44"/>
      <c r="BO139" s="8"/>
      <c r="BP139" s="8"/>
      <c r="BQ139" s="44"/>
      <c r="BR139" s="44"/>
      <c r="BS139" s="44"/>
      <c r="BT139" s="44"/>
      <c r="BU139" s="45"/>
      <c r="BV139" s="44"/>
      <c r="BW139" s="44"/>
      <c r="BX139" s="44"/>
      <c r="BY139" s="44"/>
      <c r="BZ139" s="46"/>
      <c r="CA139" s="44"/>
      <c r="CB139" s="44"/>
      <c r="CC139" s="44"/>
      <c r="CD139" s="44"/>
      <c r="CE139" s="47"/>
      <c r="CF139" s="44"/>
      <c r="CG139" s="44"/>
      <c r="CH139" s="44"/>
      <c r="CI139" s="44"/>
      <c r="CJ139" s="48"/>
      <c r="CK139" s="44"/>
      <c r="CL139" s="44"/>
      <c r="CM139" s="44"/>
      <c r="CN139" s="44"/>
      <c r="CO139" s="49"/>
      <c r="CP139" s="44"/>
      <c r="CQ139" s="44"/>
      <c r="CR139" s="44"/>
      <c r="CS139" s="44"/>
      <c r="CT139" s="15"/>
      <c r="CU139" s="16"/>
      <c r="CV139" s="16"/>
      <c r="CW139" s="16"/>
      <c r="CX139" s="15"/>
      <c r="CY139" s="16"/>
      <c r="CZ139" s="29"/>
    </row>
    <row r="140" spans="1:104" ht="15" customHeight="1">
      <c r="A140" s="50"/>
      <c r="B140" s="43"/>
      <c r="C140" s="43"/>
      <c r="D140" s="29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5"/>
      <c r="Z140" s="5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6"/>
      <c r="AR140" s="6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7"/>
      <c r="BF140" s="7"/>
      <c r="BG140" s="44"/>
      <c r="BH140" s="44"/>
      <c r="BI140" s="44"/>
      <c r="BJ140" s="44"/>
      <c r="BK140" s="44"/>
      <c r="BL140" s="44"/>
      <c r="BM140" s="44"/>
      <c r="BN140" s="44"/>
      <c r="BO140" s="8"/>
      <c r="BP140" s="8"/>
      <c r="BQ140" s="44"/>
      <c r="BR140" s="44"/>
      <c r="BS140" s="44"/>
      <c r="BT140" s="44"/>
      <c r="BU140" s="45"/>
      <c r="BV140" s="44"/>
      <c r="BW140" s="44"/>
      <c r="BX140" s="44"/>
      <c r="BY140" s="44"/>
      <c r="BZ140" s="46"/>
      <c r="CA140" s="44"/>
      <c r="CB140" s="44"/>
      <c r="CC140" s="44"/>
      <c r="CD140" s="44"/>
      <c r="CE140" s="47"/>
      <c r="CF140" s="44"/>
      <c r="CG140" s="44"/>
      <c r="CH140" s="44"/>
      <c r="CI140" s="44"/>
      <c r="CJ140" s="48"/>
      <c r="CK140" s="44"/>
      <c r="CL140" s="44"/>
      <c r="CM140" s="44"/>
      <c r="CN140" s="44"/>
      <c r="CO140" s="49"/>
      <c r="CP140" s="44"/>
      <c r="CQ140" s="44"/>
      <c r="CR140" s="44"/>
      <c r="CS140" s="44"/>
      <c r="CT140" s="15"/>
      <c r="CU140" s="16"/>
      <c r="CV140" s="16"/>
      <c r="CW140" s="16"/>
      <c r="CX140" s="15"/>
      <c r="CY140" s="16"/>
      <c r="CZ140" s="29"/>
    </row>
    <row r="141" spans="1:104" ht="15" customHeight="1">
      <c r="A141" s="50"/>
      <c r="B141" s="43"/>
      <c r="C141" s="43"/>
      <c r="D141" s="29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5"/>
      <c r="Z141" s="5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6"/>
      <c r="AR141" s="6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7"/>
      <c r="BF141" s="7"/>
      <c r="BG141" s="44"/>
      <c r="BH141" s="44"/>
      <c r="BI141" s="44"/>
      <c r="BJ141" s="44"/>
      <c r="BK141" s="44"/>
      <c r="BL141" s="44"/>
      <c r="BM141" s="44"/>
      <c r="BN141" s="44"/>
      <c r="BO141" s="8"/>
      <c r="BP141" s="8"/>
      <c r="BQ141" s="44"/>
      <c r="BR141" s="44"/>
      <c r="BS141" s="44"/>
      <c r="BT141" s="44"/>
      <c r="BU141" s="45"/>
      <c r="BV141" s="44"/>
      <c r="BW141" s="44"/>
      <c r="BX141" s="44"/>
      <c r="BY141" s="44"/>
      <c r="BZ141" s="46"/>
      <c r="CA141" s="44"/>
      <c r="CB141" s="44"/>
      <c r="CC141" s="44"/>
      <c r="CD141" s="44"/>
      <c r="CE141" s="47"/>
      <c r="CF141" s="44"/>
      <c r="CG141" s="44"/>
      <c r="CH141" s="44"/>
      <c r="CI141" s="44"/>
      <c r="CJ141" s="48"/>
      <c r="CK141" s="44"/>
      <c r="CL141" s="44"/>
      <c r="CM141" s="44"/>
      <c r="CN141" s="44"/>
      <c r="CO141" s="49"/>
      <c r="CP141" s="44"/>
      <c r="CQ141" s="44"/>
      <c r="CR141" s="44"/>
      <c r="CS141" s="44"/>
      <c r="CT141" s="15"/>
      <c r="CU141" s="16"/>
      <c r="CV141" s="16"/>
      <c r="CW141" s="16"/>
      <c r="CX141" s="15"/>
      <c r="CY141" s="16"/>
      <c r="CZ141" s="29"/>
    </row>
    <row r="142" spans="1:104" ht="15" customHeight="1">
      <c r="A142" s="50"/>
      <c r="B142" s="43"/>
      <c r="C142" s="43"/>
      <c r="D142" s="29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5"/>
      <c r="Z142" s="5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6"/>
      <c r="AR142" s="6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7"/>
      <c r="BF142" s="7"/>
      <c r="BG142" s="44"/>
      <c r="BH142" s="44"/>
      <c r="BI142" s="44"/>
      <c r="BJ142" s="44"/>
      <c r="BK142" s="44"/>
      <c r="BL142" s="44"/>
      <c r="BM142" s="44"/>
      <c r="BN142" s="44"/>
      <c r="BO142" s="8"/>
      <c r="BP142" s="8"/>
      <c r="BQ142" s="44"/>
      <c r="BR142" s="44"/>
      <c r="BS142" s="44"/>
      <c r="BT142" s="44"/>
      <c r="BU142" s="45"/>
      <c r="BV142" s="44"/>
      <c r="BW142" s="44"/>
      <c r="BX142" s="44"/>
      <c r="BY142" s="44"/>
      <c r="BZ142" s="46"/>
      <c r="CA142" s="44"/>
      <c r="CB142" s="44"/>
      <c r="CC142" s="44"/>
      <c r="CD142" s="44"/>
      <c r="CE142" s="47"/>
      <c r="CF142" s="44"/>
      <c r="CG142" s="44"/>
      <c r="CH142" s="44"/>
      <c r="CI142" s="44"/>
      <c r="CJ142" s="48"/>
      <c r="CK142" s="44"/>
      <c r="CL142" s="44"/>
      <c r="CM142" s="44"/>
      <c r="CN142" s="44"/>
      <c r="CO142" s="49"/>
      <c r="CP142" s="44"/>
      <c r="CQ142" s="44"/>
      <c r="CR142" s="44"/>
      <c r="CS142" s="44"/>
      <c r="CT142" s="15"/>
      <c r="CU142" s="16"/>
      <c r="CV142" s="16"/>
      <c r="CW142" s="16"/>
      <c r="CX142" s="15"/>
      <c r="CY142" s="16"/>
      <c r="CZ142" s="29"/>
    </row>
    <row r="143" spans="1:104" s="101" customFormat="1" ht="15" customHeight="1">
      <c r="A143" s="50"/>
      <c r="B143" s="124"/>
      <c r="C143" s="124"/>
      <c r="D143" s="127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95"/>
      <c r="Z143" s="9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96"/>
      <c r="AR143" s="96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97"/>
      <c r="BF143" s="97"/>
      <c r="BG143" s="125"/>
      <c r="BH143" s="125"/>
      <c r="BI143" s="125"/>
      <c r="BJ143" s="125"/>
      <c r="BK143" s="125"/>
      <c r="BL143" s="125"/>
      <c r="BM143" s="125"/>
      <c r="BN143" s="125"/>
      <c r="BO143" s="98"/>
      <c r="BP143" s="98"/>
      <c r="BQ143" s="125"/>
      <c r="BR143" s="125"/>
      <c r="BS143" s="125"/>
      <c r="BT143" s="125"/>
      <c r="BU143" s="126"/>
      <c r="BV143" s="125"/>
      <c r="BW143" s="125"/>
      <c r="BX143" s="125"/>
      <c r="BY143" s="125"/>
      <c r="BZ143" s="126"/>
      <c r="CA143" s="125"/>
      <c r="CB143" s="125"/>
      <c r="CC143" s="125"/>
      <c r="CD143" s="125"/>
      <c r="CE143" s="126"/>
      <c r="CF143" s="125"/>
      <c r="CG143" s="125"/>
      <c r="CH143" s="125"/>
      <c r="CI143" s="125"/>
      <c r="CJ143" s="126"/>
      <c r="CK143" s="125"/>
      <c r="CL143" s="125"/>
      <c r="CM143" s="125"/>
      <c r="CN143" s="125"/>
      <c r="CO143" s="126"/>
      <c r="CP143" s="125"/>
      <c r="CQ143" s="125"/>
      <c r="CR143" s="125"/>
      <c r="CS143" s="125"/>
      <c r="CT143" s="99"/>
      <c r="CU143" s="100"/>
      <c r="CV143" s="100"/>
      <c r="CW143" s="100"/>
      <c r="CX143" s="99"/>
      <c r="CY143" s="100"/>
      <c r="CZ143" s="127"/>
    </row>
    <row r="144" spans="1:104" s="101" customFormat="1" ht="15" customHeight="1">
      <c r="A144" s="50"/>
      <c r="B144" s="124"/>
      <c r="C144" s="124"/>
      <c r="D144" s="127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95"/>
      <c r="Z144" s="9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96"/>
      <c r="AR144" s="96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97"/>
      <c r="BF144" s="97"/>
      <c r="BG144" s="125"/>
      <c r="BH144" s="125"/>
      <c r="BI144" s="125"/>
      <c r="BJ144" s="125"/>
      <c r="BK144" s="125"/>
      <c r="BL144" s="125"/>
      <c r="BM144" s="125"/>
      <c r="BN144" s="125"/>
      <c r="BO144" s="98"/>
      <c r="BP144" s="98"/>
      <c r="BQ144" s="125"/>
      <c r="BR144" s="125"/>
      <c r="BS144" s="125"/>
      <c r="BT144" s="125"/>
      <c r="BU144" s="126"/>
      <c r="BV144" s="125"/>
      <c r="BW144" s="125"/>
      <c r="BX144" s="125"/>
      <c r="BY144" s="125"/>
      <c r="BZ144" s="126"/>
      <c r="CA144" s="125"/>
      <c r="CB144" s="125"/>
      <c r="CC144" s="125"/>
      <c r="CD144" s="125"/>
      <c r="CE144" s="126"/>
      <c r="CF144" s="125"/>
      <c r="CG144" s="125"/>
      <c r="CH144" s="125"/>
      <c r="CI144" s="125"/>
      <c r="CJ144" s="126"/>
      <c r="CK144" s="125"/>
      <c r="CL144" s="125"/>
      <c r="CM144" s="125"/>
      <c r="CN144" s="125"/>
      <c r="CO144" s="126"/>
      <c r="CP144" s="125"/>
      <c r="CQ144" s="125"/>
      <c r="CR144" s="125"/>
      <c r="CS144" s="125"/>
      <c r="CT144" s="99"/>
      <c r="CU144" s="100"/>
      <c r="CV144" s="100"/>
      <c r="CW144" s="100"/>
      <c r="CX144" s="99"/>
      <c r="CY144" s="100"/>
      <c r="CZ144" s="127"/>
    </row>
    <row r="145" spans="1:104" ht="15" customHeight="1">
      <c r="A145" s="50"/>
      <c r="B145" s="43"/>
      <c r="C145" s="43"/>
      <c r="D145" s="29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5"/>
      <c r="Z145" s="5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6"/>
      <c r="AR145" s="6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7"/>
      <c r="BF145" s="7"/>
      <c r="BG145" s="44"/>
      <c r="BH145" s="44"/>
      <c r="BI145" s="44"/>
      <c r="BJ145" s="44"/>
      <c r="BK145" s="44"/>
      <c r="BL145" s="44"/>
      <c r="BM145" s="44"/>
      <c r="BN145" s="44"/>
      <c r="BO145" s="8"/>
      <c r="BP145" s="8"/>
      <c r="BQ145" s="44"/>
      <c r="BR145" s="44"/>
      <c r="BS145" s="44"/>
      <c r="BT145" s="44"/>
      <c r="BU145" s="45"/>
      <c r="BV145" s="44"/>
      <c r="BW145" s="44"/>
      <c r="BX145" s="44"/>
      <c r="BY145" s="44"/>
      <c r="BZ145" s="46"/>
      <c r="CA145" s="44"/>
      <c r="CB145" s="44"/>
      <c r="CC145" s="44"/>
      <c r="CD145" s="44"/>
      <c r="CE145" s="47"/>
      <c r="CF145" s="44"/>
      <c r="CG145" s="44"/>
      <c r="CH145" s="44"/>
      <c r="CI145" s="44"/>
      <c r="CJ145" s="48"/>
      <c r="CK145" s="44"/>
      <c r="CL145" s="44"/>
      <c r="CM145" s="44"/>
      <c r="CN145" s="44"/>
      <c r="CO145" s="49"/>
      <c r="CP145" s="44"/>
      <c r="CQ145" s="44"/>
      <c r="CR145" s="44"/>
      <c r="CS145" s="44"/>
      <c r="CT145" s="15"/>
      <c r="CU145" s="16"/>
      <c r="CV145" s="16"/>
      <c r="CW145" s="16"/>
      <c r="CX145" s="15"/>
      <c r="CY145" s="16"/>
      <c r="CZ145" s="29"/>
    </row>
    <row r="146" spans="1:104" ht="15" customHeight="1">
      <c r="A146" s="50"/>
      <c r="B146" s="43"/>
      <c r="C146" s="43"/>
      <c r="D146" s="29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5"/>
      <c r="Z146" s="5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6"/>
      <c r="AR146" s="6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7"/>
      <c r="BF146" s="7"/>
      <c r="BG146" s="44"/>
      <c r="BH146" s="44"/>
      <c r="BI146" s="44"/>
      <c r="BJ146" s="44"/>
      <c r="BK146" s="44"/>
      <c r="BL146" s="44"/>
      <c r="BM146" s="44"/>
      <c r="BN146" s="44"/>
      <c r="BO146" s="8"/>
      <c r="BP146" s="8"/>
      <c r="BQ146" s="44"/>
      <c r="BR146" s="44"/>
      <c r="BS146" s="44"/>
      <c r="BT146" s="44"/>
      <c r="BU146" s="45"/>
      <c r="BV146" s="44"/>
      <c r="BW146" s="44"/>
      <c r="BX146" s="44"/>
      <c r="BY146" s="44"/>
      <c r="BZ146" s="46"/>
      <c r="CA146" s="44"/>
      <c r="CB146" s="44"/>
      <c r="CC146" s="44"/>
      <c r="CD146" s="44"/>
      <c r="CE146" s="47"/>
      <c r="CF146" s="44"/>
      <c r="CG146" s="44"/>
      <c r="CH146" s="44"/>
      <c r="CI146" s="44"/>
      <c r="CJ146" s="48"/>
      <c r="CK146" s="44"/>
      <c r="CL146" s="44"/>
      <c r="CM146" s="44"/>
      <c r="CN146" s="44"/>
      <c r="CO146" s="49"/>
      <c r="CP146" s="44"/>
      <c r="CQ146" s="44"/>
      <c r="CR146" s="44"/>
      <c r="CS146" s="44"/>
      <c r="CT146" s="15"/>
      <c r="CU146" s="16"/>
      <c r="CV146" s="16"/>
      <c r="CW146" s="16"/>
      <c r="CX146" s="15"/>
      <c r="CY146" s="16"/>
      <c r="CZ146" s="29"/>
    </row>
    <row r="147" spans="1:104" ht="15" customHeight="1">
      <c r="A147" s="50"/>
      <c r="B147" s="43"/>
      <c r="C147" s="43"/>
      <c r="D147" s="29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5"/>
      <c r="Z147" s="5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6"/>
      <c r="AR147" s="6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7"/>
      <c r="BF147" s="7"/>
      <c r="BG147" s="44"/>
      <c r="BH147" s="44"/>
      <c r="BI147" s="44"/>
      <c r="BJ147" s="44"/>
      <c r="BK147" s="44"/>
      <c r="BL147" s="44"/>
      <c r="BM147" s="44"/>
      <c r="BN147" s="44"/>
      <c r="BO147" s="8"/>
      <c r="BP147" s="8"/>
      <c r="BQ147" s="44"/>
      <c r="BR147" s="44"/>
      <c r="BS147" s="44"/>
      <c r="BT147" s="44"/>
      <c r="BU147" s="45"/>
      <c r="BV147" s="44"/>
      <c r="BW147" s="44"/>
      <c r="BX147" s="44"/>
      <c r="BY147" s="44"/>
      <c r="BZ147" s="46"/>
      <c r="CA147" s="44"/>
      <c r="CB147" s="44"/>
      <c r="CC147" s="44"/>
      <c r="CD147" s="44"/>
      <c r="CE147" s="47"/>
      <c r="CF147" s="44"/>
      <c r="CG147" s="44"/>
      <c r="CH147" s="44"/>
      <c r="CI147" s="44"/>
      <c r="CJ147" s="48"/>
      <c r="CK147" s="44"/>
      <c r="CL147" s="44"/>
      <c r="CM147" s="44"/>
      <c r="CN147" s="44"/>
      <c r="CO147" s="49"/>
      <c r="CP147" s="44"/>
      <c r="CQ147" s="44"/>
      <c r="CR147" s="44"/>
      <c r="CS147" s="44"/>
      <c r="CT147" s="15"/>
      <c r="CU147" s="16"/>
      <c r="CV147" s="16"/>
      <c r="CW147" s="16"/>
      <c r="CX147" s="15"/>
      <c r="CY147" s="16"/>
      <c r="CZ147" s="29"/>
    </row>
    <row r="148" spans="1:104" s="101" customFormat="1" ht="15" customHeight="1">
      <c r="A148" s="50"/>
      <c r="B148" s="124"/>
      <c r="C148" s="124"/>
      <c r="D148" s="127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95"/>
      <c r="Z148" s="9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5"/>
      <c r="AP148" s="125"/>
      <c r="AQ148" s="96"/>
      <c r="AR148" s="96"/>
      <c r="AS148" s="125"/>
      <c r="AT148" s="125"/>
      <c r="AU148" s="125"/>
      <c r="AV148" s="125"/>
      <c r="AW148" s="125"/>
      <c r="AX148" s="125"/>
      <c r="AY148" s="125"/>
      <c r="AZ148" s="125"/>
      <c r="BA148" s="125"/>
      <c r="BB148" s="125"/>
      <c r="BC148" s="125"/>
      <c r="BD148" s="125"/>
      <c r="BE148" s="97"/>
      <c r="BF148" s="97"/>
      <c r="BG148" s="125"/>
      <c r="BH148" s="125"/>
      <c r="BI148" s="125"/>
      <c r="BJ148" s="125"/>
      <c r="BK148" s="125"/>
      <c r="BL148" s="125"/>
      <c r="BM148" s="125"/>
      <c r="BN148" s="125"/>
      <c r="BO148" s="98"/>
      <c r="BP148" s="98"/>
      <c r="BQ148" s="125"/>
      <c r="BR148" s="125"/>
      <c r="BS148" s="125"/>
      <c r="BT148" s="125"/>
      <c r="BU148" s="126"/>
      <c r="BV148" s="125"/>
      <c r="BW148" s="125"/>
      <c r="BX148" s="125"/>
      <c r="BY148" s="125"/>
      <c r="BZ148" s="126"/>
      <c r="CA148" s="125"/>
      <c r="CB148" s="125"/>
      <c r="CC148" s="125"/>
      <c r="CD148" s="125"/>
      <c r="CE148" s="126"/>
      <c r="CF148" s="125"/>
      <c r="CG148" s="125"/>
      <c r="CH148" s="125"/>
      <c r="CI148" s="125"/>
      <c r="CJ148" s="126"/>
      <c r="CK148" s="125"/>
      <c r="CL148" s="125"/>
      <c r="CM148" s="125"/>
      <c r="CN148" s="125"/>
      <c r="CO148" s="126"/>
      <c r="CP148" s="125"/>
      <c r="CQ148" s="125"/>
      <c r="CR148" s="125"/>
      <c r="CS148" s="125"/>
      <c r="CT148" s="99"/>
      <c r="CU148" s="100"/>
      <c r="CV148" s="100"/>
      <c r="CW148" s="100"/>
      <c r="CX148" s="99"/>
      <c r="CY148" s="100"/>
      <c r="CZ148" s="127"/>
    </row>
    <row r="149" spans="1:104" ht="15" customHeight="1">
      <c r="A149" s="50"/>
      <c r="B149" s="43"/>
      <c r="C149" s="43"/>
      <c r="D149" s="29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5"/>
      <c r="Z149" s="5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6"/>
      <c r="AR149" s="6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7"/>
      <c r="BF149" s="7"/>
      <c r="BG149" s="44"/>
      <c r="BH149" s="44"/>
      <c r="BI149" s="44"/>
      <c r="BJ149" s="44"/>
      <c r="BK149" s="44"/>
      <c r="BL149" s="44"/>
      <c r="BM149" s="44"/>
      <c r="BN149" s="44"/>
      <c r="BO149" s="8"/>
      <c r="BP149" s="8"/>
      <c r="BQ149" s="44"/>
      <c r="BR149" s="44"/>
      <c r="BS149" s="44"/>
      <c r="BT149" s="44"/>
      <c r="BU149" s="45"/>
      <c r="BV149" s="44"/>
      <c r="BW149" s="44"/>
      <c r="BX149" s="44"/>
      <c r="BY149" s="44"/>
      <c r="BZ149" s="46"/>
      <c r="CA149" s="44"/>
      <c r="CB149" s="44"/>
      <c r="CC149" s="44"/>
      <c r="CD149" s="44"/>
      <c r="CE149" s="47"/>
      <c r="CF149" s="44"/>
      <c r="CG149" s="44"/>
      <c r="CH149" s="44"/>
      <c r="CI149" s="44"/>
      <c r="CJ149" s="48"/>
      <c r="CK149" s="44"/>
      <c r="CL149" s="44"/>
      <c r="CM149" s="44"/>
      <c r="CN149" s="44"/>
      <c r="CO149" s="49"/>
      <c r="CP149" s="44"/>
      <c r="CQ149" s="44"/>
      <c r="CR149" s="44"/>
      <c r="CS149" s="44"/>
      <c r="CT149" s="15"/>
      <c r="CU149" s="16"/>
      <c r="CV149" s="16"/>
      <c r="CW149" s="16"/>
      <c r="CX149" s="15"/>
      <c r="CY149" s="16"/>
      <c r="CZ149" s="29"/>
    </row>
    <row r="150" spans="1:104" ht="15" customHeight="1">
      <c r="A150" s="50"/>
      <c r="B150" s="43"/>
      <c r="C150" s="43"/>
      <c r="D150" s="29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5"/>
      <c r="Z150" s="5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6"/>
      <c r="AR150" s="6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7"/>
      <c r="BF150" s="7"/>
      <c r="BG150" s="44"/>
      <c r="BH150" s="44"/>
      <c r="BI150" s="44"/>
      <c r="BJ150" s="44"/>
      <c r="BK150" s="44"/>
      <c r="BL150" s="44"/>
      <c r="BM150" s="44"/>
      <c r="BN150" s="44"/>
      <c r="BO150" s="8"/>
      <c r="BP150" s="8"/>
      <c r="BQ150" s="44"/>
      <c r="BR150" s="44"/>
      <c r="BS150" s="44"/>
      <c r="BT150" s="44"/>
      <c r="BU150" s="45"/>
      <c r="BV150" s="44"/>
      <c r="BW150" s="44"/>
      <c r="BX150" s="44"/>
      <c r="BY150" s="44"/>
      <c r="BZ150" s="46"/>
      <c r="CA150" s="44"/>
      <c r="CB150" s="44"/>
      <c r="CC150" s="44"/>
      <c r="CD150" s="44"/>
      <c r="CE150" s="47"/>
      <c r="CF150" s="44"/>
      <c r="CG150" s="44"/>
      <c r="CH150" s="44"/>
      <c r="CI150" s="44"/>
      <c r="CJ150" s="48"/>
      <c r="CK150" s="44"/>
      <c r="CL150" s="44"/>
      <c r="CM150" s="44"/>
      <c r="CN150" s="44"/>
      <c r="CO150" s="49"/>
      <c r="CP150" s="44"/>
      <c r="CQ150" s="44"/>
      <c r="CR150" s="44"/>
      <c r="CS150" s="44"/>
      <c r="CT150" s="15"/>
      <c r="CU150" s="16"/>
      <c r="CV150" s="16"/>
      <c r="CW150" s="16"/>
      <c r="CX150" s="15"/>
      <c r="CY150" s="16"/>
      <c r="CZ150" s="29"/>
    </row>
    <row r="151" spans="1:104" ht="15" customHeight="1">
      <c r="A151" s="50"/>
      <c r="B151" s="43"/>
      <c r="C151" s="43"/>
      <c r="D151" s="29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5"/>
      <c r="Z151" s="5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6"/>
      <c r="AR151" s="6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7"/>
      <c r="BF151" s="7"/>
      <c r="BG151" s="44"/>
      <c r="BH151" s="44"/>
      <c r="BI151" s="44"/>
      <c r="BJ151" s="44"/>
      <c r="BK151" s="44"/>
      <c r="BL151" s="44"/>
      <c r="BM151" s="44"/>
      <c r="BN151" s="44"/>
      <c r="BO151" s="8"/>
      <c r="BP151" s="8"/>
      <c r="BQ151" s="44"/>
      <c r="BR151" s="44"/>
      <c r="BS151" s="44"/>
      <c r="BT151" s="44"/>
      <c r="BU151" s="45"/>
      <c r="BV151" s="44"/>
      <c r="BW151" s="44"/>
      <c r="BX151" s="44"/>
      <c r="BY151" s="44"/>
      <c r="BZ151" s="46"/>
      <c r="CA151" s="44"/>
      <c r="CB151" s="44"/>
      <c r="CC151" s="44"/>
      <c r="CD151" s="44"/>
      <c r="CE151" s="47"/>
      <c r="CF151" s="44"/>
      <c r="CG151" s="44"/>
      <c r="CH151" s="44"/>
      <c r="CI151" s="44"/>
      <c r="CJ151" s="48"/>
      <c r="CK151" s="44"/>
      <c r="CL151" s="44"/>
      <c r="CM151" s="44"/>
      <c r="CN151" s="44"/>
      <c r="CO151" s="49"/>
      <c r="CP151" s="44"/>
      <c r="CQ151" s="44"/>
      <c r="CR151" s="44"/>
      <c r="CS151" s="44"/>
      <c r="CT151" s="15"/>
      <c r="CU151" s="16"/>
      <c r="CV151" s="16"/>
      <c r="CW151" s="16"/>
      <c r="CX151" s="15"/>
      <c r="CY151" s="16"/>
      <c r="CZ151" s="29"/>
    </row>
    <row r="152" spans="1:104" s="101" customFormat="1" ht="15" customHeight="1">
      <c r="A152" s="50"/>
      <c r="B152" s="128"/>
      <c r="C152" s="124"/>
      <c r="D152" s="127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95"/>
      <c r="Z152" s="9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  <c r="AQ152" s="96"/>
      <c r="AR152" s="96"/>
      <c r="AS152" s="125"/>
      <c r="AT152" s="125"/>
      <c r="AU152" s="125"/>
      <c r="AV152" s="125"/>
      <c r="AW152" s="125"/>
      <c r="AX152" s="125"/>
      <c r="AY152" s="125"/>
      <c r="AZ152" s="125"/>
      <c r="BA152" s="125"/>
      <c r="BB152" s="125"/>
      <c r="BC152" s="125"/>
      <c r="BD152" s="125"/>
      <c r="BE152" s="97"/>
      <c r="BF152" s="97"/>
      <c r="BG152" s="125"/>
      <c r="BH152" s="125"/>
      <c r="BI152" s="125"/>
      <c r="BJ152" s="125"/>
      <c r="BK152" s="125"/>
      <c r="BL152" s="125"/>
      <c r="BM152" s="125"/>
      <c r="BN152" s="125"/>
      <c r="BO152" s="98"/>
      <c r="BP152" s="98"/>
      <c r="BQ152" s="125"/>
      <c r="BR152" s="125"/>
      <c r="BS152" s="125"/>
      <c r="BT152" s="125"/>
      <c r="BU152" s="126"/>
      <c r="BV152" s="125"/>
      <c r="BW152" s="125"/>
      <c r="BX152" s="125"/>
      <c r="BY152" s="125"/>
      <c r="BZ152" s="126"/>
      <c r="CA152" s="125"/>
      <c r="CB152" s="125"/>
      <c r="CC152" s="125"/>
      <c r="CD152" s="125"/>
      <c r="CE152" s="126"/>
      <c r="CF152" s="125"/>
      <c r="CG152" s="125"/>
      <c r="CH152" s="125"/>
      <c r="CI152" s="125"/>
      <c r="CJ152" s="126"/>
      <c r="CK152" s="125"/>
      <c r="CL152" s="125"/>
      <c r="CM152" s="125"/>
      <c r="CN152" s="125"/>
      <c r="CO152" s="126"/>
      <c r="CP152" s="125"/>
      <c r="CQ152" s="125"/>
      <c r="CR152" s="125"/>
      <c r="CS152" s="125"/>
      <c r="CT152" s="99"/>
      <c r="CU152" s="100"/>
      <c r="CV152" s="100"/>
      <c r="CW152" s="100"/>
      <c r="CX152" s="99"/>
      <c r="CY152" s="100"/>
      <c r="CZ152" s="127"/>
    </row>
    <row r="153" spans="1:104" ht="15" customHeight="1">
      <c r="A153" s="50"/>
      <c r="B153" s="43"/>
      <c r="C153" s="43"/>
      <c r="D153" s="29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5"/>
      <c r="Z153" s="5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6"/>
      <c r="AR153" s="6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7"/>
      <c r="BF153" s="7"/>
      <c r="BG153" s="44"/>
      <c r="BH153" s="44"/>
      <c r="BI153" s="44"/>
      <c r="BJ153" s="44"/>
      <c r="BK153" s="44"/>
      <c r="BL153" s="44"/>
      <c r="BM153" s="44"/>
      <c r="BN153" s="44"/>
      <c r="BO153" s="8"/>
      <c r="BP153" s="8"/>
      <c r="BQ153" s="44"/>
      <c r="BR153" s="44"/>
      <c r="BS153" s="44"/>
      <c r="BT153" s="44"/>
      <c r="BU153" s="45"/>
      <c r="BV153" s="44"/>
      <c r="BW153" s="44"/>
      <c r="BX153" s="44"/>
      <c r="BY153" s="44"/>
      <c r="BZ153" s="46"/>
      <c r="CA153" s="44"/>
      <c r="CB153" s="44"/>
      <c r="CC153" s="44"/>
      <c r="CD153" s="44"/>
      <c r="CE153" s="47"/>
      <c r="CF153" s="44"/>
      <c r="CG153" s="44"/>
      <c r="CH153" s="44"/>
      <c r="CI153" s="44"/>
      <c r="CJ153" s="48"/>
      <c r="CK153" s="44"/>
      <c r="CL153" s="44"/>
      <c r="CM153" s="44"/>
      <c r="CN153" s="44"/>
      <c r="CO153" s="49"/>
      <c r="CP153" s="44"/>
      <c r="CQ153" s="44"/>
      <c r="CR153" s="44"/>
      <c r="CS153" s="44"/>
      <c r="CT153" s="15"/>
      <c r="CU153" s="16"/>
      <c r="CV153" s="16"/>
      <c r="CW153" s="16"/>
      <c r="CX153" s="15"/>
      <c r="CY153" s="16"/>
      <c r="CZ153" s="29"/>
    </row>
    <row r="154" spans="1:104" ht="15" customHeight="1">
      <c r="A154" s="50"/>
      <c r="B154" s="43"/>
      <c r="C154" s="43"/>
      <c r="D154" s="29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5"/>
      <c r="Z154" s="5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6"/>
      <c r="AR154" s="6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7"/>
      <c r="BF154" s="7"/>
      <c r="BG154" s="44"/>
      <c r="BH154" s="44"/>
      <c r="BI154" s="44"/>
      <c r="BJ154" s="44"/>
      <c r="BK154" s="44"/>
      <c r="BL154" s="44"/>
      <c r="BM154" s="44"/>
      <c r="BN154" s="44"/>
      <c r="BO154" s="8"/>
      <c r="BP154" s="8"/>
      <c r="BQ154" s="44"/>
      <c r="BR154" s="44"/>
      <c r="BS154" s="44"/>
      <c r="BT154" s="44"/>
      <c r="BU154" s="45"/>
      <c r="BV154" s="44"/>
      <c r="BW154" s="44"/>
      <c r="BX154" s="44"/>
      <c r="BY154" s="44"/>
      <c r="BZ154" s="46"/>
      <c r="CA154" s="44"/>
      <c r="CB154" s="44"/>
      <c r="CC154" s="44"/>
      <c r="CD154" s="44"/>
      <c r="CE154" s="47"/>
      <c r="CF154" s="44"/>
      <c r="CG154" s="44"/>
      <c r="CH154" s="44"/>
      <c r="CI154" s="44"/>
      <c r="CJ154" s="48"/>
      <c r="CK154" s="44"/>
      <c r="CL154" s="44"/>
      <c r="CM154" s="44"/>
      <c r="CN154" s="44"/>
      <c r="CO154" s="49"/>
      <c r="CP154" s="44"/>
      <c r="CQ154" s="44"/>
      <c r="CR154" s="44"/>
      <c r="CS154" s="44"/>
      <c r="CT154" s="15"/>
      <c r="CU154" s="16"/>
      <c r="CV154" s="16"/>
      <c r="CW154" s="16"/>
      <c r="CX154" s="15"/>
      <c r="CY154" s="16"/>
      <c r="CZ154" s="29"/>
    </row>
    <row r="155" spans="1:104" ht="15" customHeight="1">
      <c r="A155" s="50"/>
      <c r="B155" s="43"/>
      <c r="C155" s="43"/>
      <c r="D155" s="29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5"/>
      <c r="Z155" s="5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6"/>
      <c r="AR155" s="6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7"/>
      <c r="BF155" s="7"/>
      <c r="BG155" s="44"/>
      <c r="BH155" s="44"/>
      <c r="BI155" s="44"/>
      <c r="BJ155" s="44"/>
      <c r="BK155" s="44"/>
      <c r="BL155" s="44"/>
      <c r="BM155" s="44"/>
      <c r="BN155" s="44"/>
      <c r="BO155" s="8"/>
      <c r="BP155" s="8"/>
      <c r="BQ155" s="44"/>
      <c r="BR155" s="44"/>
      <c r="BS155" s="44"/>
      <c r="BT155" s="44"/>
      <c r="BU155" s="45"/>
      <c r="BV155" s="44"/>
      <c r="BW155" s="44"/>
      <c r="BX155" s="44"/>
      <c r="BY155" s="44"/>
      <c r="BZ155" s="46"/>
      <c r="CA155" s="44"/>
      <c r="CB155" s="44"/>
      <c r="CC155" s="44"/>
      <c r="CD155" s="44"/>
      <c r="CE155" s="47"/>
      <c r="CF155" s="44"/>
      <c r="CG155" s="44"/>
      <c r="CH155" s="44"/>
      <c r="CI155" s="44"/>
      <c r="CJ155" s="48"/>
      <c r="CK155" s="44"/>
      <c r="CL155" s="44"/>
      <c r="CM155" s="44"/>
      <c r="CN155" s="44"/>
      <c r="CO155" s="49"/>
      <c r="CP155" s="44"/>
      <c r="CQ155" s="44"/>
      <c r="CR155" s="44"/>
      <c r="CS155" s="44"/>
      <c r="CT155" s="15"/>
      <c r="CU155" s="16"/>
      <c r="CV155" s="16"/>
      <c r="CW155" s="16"/>
      <c r="CX155" s="15"/>
      <c r="CY155" s="16"/>
      <c r="CZ155" s="29"/>
    </row>
    <row r="156" spans="1:104" ht="15" customHeight="1">
      <c r="A156" s="50"/>
      <c r="B156" s="43"/>
      <c r="C156" s="43"/>
      <c r="D156" s="29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5"/>
      <c r="Z156" s="5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6"/>
      <c r="AR156" s="6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7"/>
      <c r="BF156" s="7"/>
      <c r="BG156" s="44"/>
      <c r="BH156" s="44"/>
      <c r="BI156" s="44"/>
      <c r="BJ156" s="44"/>
      <c r="BK156" s="44"/>
      <c r="BL156" s="44"/>
      <c r="BM156" s="44"/>
      <c r="BN156" s="44"/>
      <c r="BO156" s="8"/>
      <c r="BP156" s="8"/>
      <c r="BQ156" s="44"/>
      <c r="BR156" s="44"/>
      <c r="BS156" s="44"/>
      <c r="BT156" s="44"/>
      <c r="BU156" s="45"/>
      <c r="BV156" s="44"/>
      <c r="BW156" s="44"/>
      <c r="BX156" s="44"/>
      <c r="BY156" s="44"/>
      <c r="BZ156" s="46"/>
      <c r="CA156" s="44"/>
      <c r="CB156" s="44"/>
      <c r="CC156" s="44"/>
      <c r="CD156" s="44"/>
      <c r="CE156" s="47"/>
      <c r="CF156" s="44"/>
      <c r="CG156" s="44"/>
      <c r="CH156" s="44"/>
      <c r="CI156" s="44"/>
      <c r="CJ156" s="48"/>
      <c r="CK156" s="44"/>
      <c r="CL156" s="44"/>
      <c r="CM156" s="44"/>
      <c r="CN156" s="44"/>
      <c r="CO156" s="49"/>
      <c r="CP156" s="44"/>
      <c r="CQ156" s="44"/>
      <c r="CR156" s="44"/>
      <c r="CS156" s="44"/>
      <c r="CT156" s="15"/>
      <c r="CU156" s="16"/>
      <c r="CV156" s="16"/>
      <c r="CW156" s="16"/>
      <c r="CX156" s="15"/>
      <c r="CY156" s="16"/>
      <c r="CZ156" s="29"/>
    </row>
    <row r="157" spans="1:104" ht="15" customHeight="1">
      <c r="A157" s="50"/>
      <c r="B157" s="43"/>
      <c r="C157" s="43"/>
      <c r="D157" s="29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5"/>
      <c r="Z157" s="5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6"/>
      <c r="AR157" s="6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7"/>
      <c r="BF157" s="7"/>
      <c r="BG157" s="44"/>
      <c r="BH157" s="44"/>
      <c r="BI157" s="44"/>
      <c r="BJ157" s="44"/>
      <c r="BK157" s="44"/>
      <c r="BL157" s="44"/>
      <c r="BM157" s="44"/>
      <c r="BN157" s="44"/>
      <c r="BO157" s="8"/>
      <c r="BP157" s="8"/>
      <c r="BQ157" s="44"/>
      <c r="BR157" s="44"/>
      <c r="BS157" s="44"/>
      <c r="BT157" s="44"/>
      <c r="BU157" s="45"/>
      <c r="BV157" s="44"/>
      <c r="BW157" s="44"/>
      <c r="BX157" s="44"/>
      <c r="BY157" s="44"/>
      <c r="BZ157" s="46"/>
      <c r="CA157" s="44"/>
      <c r="CB157" s="44"/>
      <c r="CC157" s="44"/>
      <c r="CD157" s="44"/>
      <c r="CE157" s="47"/>
      <c r="CF157" s="44"/>
      <c r="CG157" s="44"/>
      <c r="CH157" s="44"/>
      <c r="CI157" s="44"/>
      <c r="CJ157" s="48"/>
      <c r="CK157" s="44"/>
      <c r="CL157" s="44"/>
      <c r="CM157" s="44"/>
      <c r="CN157" s="44"/>
      <c r="CO157" s="49"/>
      <c r="CP157" s="44"/>
      <c r="CQ157" s="44"/>
      <c r="CR157" s="44"/>
      <c r="CS157" s="44"/>
      <c r="CT157" s="15"/>
      <c r="CU157" s="16"/>
      <c r="CV157" s="16"/>
      <c r="CW157" s="16"/>
      <c r="CX157" s="15"/>
      <c r="CY157" s="16"/>
      <c r="CZ157" s="29"/>
    </row>
    <row r="158" spans="1:104" ht="15" customHeight="1">
      <c r="A158" s="50"/>
      <c r="B158" s="43"/>
      <c r="C158" s="43"/>
      <c r="D158" s="29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5"/>
      <c r="Z158" s="5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6"/>
      <c r="AR158" s="6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7"/>
      <c r="BF158" s="7"/>
      <c r="BG158" s="44"/>
      <c r="BH158" s="44"/>
      <c r="BI158" s="44"/>
      <c r="BJ158" s="44"/>
      <c r="BK158" s="44"/>
      <c r="BL158" s="44"/>
      <c r="BM158" s="44"/>
      <c r="BN158" s="44"/>
      <c r="BO158" s="8"/>
      <c r="BP158" s="8"/>
      <c r="BQ158" s="44"/>
      <c r="BR158" s="44"/>
      <c r="BS158" s="44"/>
      <c r="BT158" s="44"/>
      <c r="BU158" s="45"/>
      <c r="BV158" s="44"/>
      <c r="BW158" s="44"/>
      <c r="BX158" s="44"/>
      <c r="BY158" s="44"/>
      <c r="BZ158" s="46"/>
      <c r="CA158" s="44"/>
      <c r="CB158" s="44"/>
      <c r="CC158" s="44"/>
      <c r="CD158" s="44"/>
      <c r="CE158" s="47"/>
      <c r="CF158" s="44"/>
      <c r="CG158" s="44"/>
      <c r="CH158" s="44"/>
      <c r="CI158" s="44"/>
      <c r="CJ158" s="48"/>
      <c r="CK158" s="44"/>
      <c r="CL158" s="44"/>
      <c r="CM158" s="44"/>
      <c r="CN158" s="44"/>
      <c r="CO158" s="49"/>
      <c r="CP158" s="44"/>
      <c r="CQ158" s="44"/>
      <c r="CR158" s="44"/>
      <c r="CS158" s="44"/>
      <c r="CT158" s="15"/>
      <c r="CU158" s="16"/>
      <c r="CV158" s="16"/>
      <c r="CW158" s="16"/>
      <c r="CX158" s="15"/>
      <c r="CY158" s="16"/>
      <c r="CZ158" s="29"/>
    </row>
    <row r="159" spans="1:104" ht="15" customHeight="1">
      <c r="A159" s="50"/>
      <c r="B159" s="43"/>
      <c r="C159" s="43"/>
      <c r="D159" s="29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5"/>
      <c r="Z159" s="5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6"/>
      <c r="AR159" s="6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7"/>
      <c r="BF159" s="7"/>
      <c r="BG159" s="44"/>
      <c r="BH159" s="44"/>
      <c r="BI159" s="44"/>
      <c r="BJ159" s="44"/>
      <c r="BK159" s="44"/>
      <c r="BL159" s="44"/>
      <c r="BM159" s="44"/>
      <c r="BN159" s="44"/>
      <c r="BO159" s="8"/>
      <c r="BP159" s="8"/>
      <c r="BQ159" s="44"/>
      <c r="BR159" s="44"/>
      <c r="BS159" s="44"/>
      <c r="BT159" s="44"/>
      <c r="BU159" s="45"/>
      <c r="BV159" s="44"/>
      <c r="BW159" s="44"/>
      <c r="BX159" s="44"/>
      <c r="BY159" s="44"/>
      <c r="BZ159" s="46"/>
      <c r="CA159" s="44"/>
      <c r="CB159" s="44"/>
      <c r="CC159" s="44"/>
      <c r="CD159" s="44"/>
      <c r="CE159" s="47"/>
      <c r="CF159" s="44"/>
      <c r="CG159" s="44"/>
      <c r="CH159" s="44"/>
      <c r="CI159" s="44"/>
      <c r="CJ159" s="48"/>
      <c r="CK159" s="44"/>
      <c r="CL159" s="44"/>
      <c r="CM159" s="44"/>
      <c r="CN159" s="44"/>
      <c r="CO159" s="49"/>
      <c r="CP159" s="44"/>
      <c r="CQ159" s="44"/>
      <c r="CR159" s="44"/>
      <c r="CS159" s="44"/>
      <c r="CT159" s="15"/>
      <c r="CU159" s="16"/>
      <c r="CV159" s="16"/>
      <c r="CW159" s="16"/>
      <c r="CX159" s="15"/>
      <c r="CY159" s="16"/>
      <c r="CZ159" s="29"/>
    </row>
    <row r="160" spans="1:104" ht="14.25" customHeight="1">
      <c r="A160" s="50"/>
      <c r="B160" s="43"/>
      <c r="C160" s="43"/>
      <c r="D160" s="29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5"/>
      <c r="Z160" s="5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6"/>
      <c r="AR160" s="6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7"/>
      <c r="BF160" s="7"/>
      <c r="BG160" s="44"/>
      <c r="BH160" s="44"/>
      <c r="BI160" s="44"/>
      <c r="BJ160" s="44"/>
      <c r="BK160" s="44"/>
      <c r="BL160" s="44"/>
      <c r="BM160" s="44"/>
      <c r="BN160" s="44"/>
      <c r="BO160" s="8"/>
      <c r="BP160" s="8"/>
      <c r="BQ160" s="44"/>
      <c r="BR160" s="44"/>
      <c r="BS160" s="44"/>
      <c r="BT160" s="44"/>
      <c r="BU160" s="45"/>
      <c r="BV160" s="44"/>
      <c r="BW160" s="44"/>
      <c r="BX160" s="44"/>
      <c r="BY160" s="44"/>
      <c r="BZ160" s="46"/>
      <c r="CA160" s="44"/>
      <c r="CB160" s="44"/>
      <c r="CC160" s="44"/>
      <c r="CD160" s="44"/>
      <c r="CE160" s="47"/>
      <c r="CF160" s="44"/>
      <c r="CG160" s="44"/>
      <c r="CH160" s="44"/>
      <c r="CI160" s="44"/>
      <c r="CJ160" s="48"/>
      <c r="CK160" s="44"/>
      <c r="CL160" s="44"/>
      <c r="CM160" s="44"/>
      <c r="CN160" s="44"/>
      <c r="CO160" s="49"/>
      <c r="CP160" s="44"/>
      <c r="CQ160" s="44"/>
      <c r="CR160" s="44"/>
      <c r="CS160" s="44"/>
      <c r="CT160" s="15"/>
      <c r="CU160" s="16"/>
      <c r="CV160" s="16"/>
      <c r="CW160" s="16"/>
      <c r="CX160" s="15"/>
      <c r="CY160" s="16"/>
      <c r="CZ160" s="29"/>
    </row>
    <row r="161" spans="1:104">
      <c r="A161" s="50"/>
      <c r="B161" s="43"/>
      <c r="C161" s="43"/>
      <c r="D161" s="29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5"/>
      <c r="Z161" s="5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6"/>
      <c r="AR161" s="6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7"/>
      <c r="BF161" s="7"/>
      <c r="BG161" s="44"/>
      <c r="BH161" s="44"/>
      <c r="BI161" s="44"/>
      <c r="BJ161" s="44"/>
      <c r="BK161" s="44"/>
      <c r="BL161" s="44"/>
      <c r="BM161" s="44"/>
      <c r="BN161" s="44"/>
      <c r="BO161" s="8"/>
      <c r="BP161" s="8"/>
      <c r="BQ161" s="44"/>
      <c r="BR161" s="44"/>
      <c r="BS161" s="44"/>
      <c r="BT161" s="44"/>
      <c r="BU161" s="45"/>
      <c r="BV161" s="44"/>
      <c r="BW161" s="44"/>
      <c r="BX161" s="44"/>
      <c r="BY161" s="44"/>
      <c r="BZ161" s="46"/>
      <c r="CA161" s="44"/>
      <c r="CB161" s="44"/>
      <c r="CC161" s="44"/>
      <c r="CD161" s="44"/>
      <c r="CE161" s="47"/>
      <c r="CF161" s="44"/>
      <c r="CG161" s="44"/>
      <c r="CH161" s="44"/>
      <c r="CI161" s="44"/>
      <c r="CJ161" s="48"/>
      <c r="CK161" s="44"/>
      <c r="CL161" s="44"/>
      <c r="CM161" s="44"/>
      <c r="CN161" s="44"/>
      <c r="CO161" s="49"/>
      <c r="CP161" s="44"/>
      <c r="CQ161" s="44"/>
      <c r="CR161" s="44"/>
      <c r="CS161" s="44"/>
      <c r="CT161" s="15"/>
      <c r="CU161" s="16"/>
      <c r="CV161" s="16"/>
      <c r="CW161" s="16"/>
      <c r="CX161" s="15"/>
      <c r="CY161" s="16"/>
      <c r="CZ161" s="29"/>
    </row>
    <row r="162" spans="1:104" ht="14.25" customHeight="1">
      <c r="A162" s="50"/>
      <c r="B162" s="43"/>
      <c r="C162" s="43"/>
      <c r="D162" s="29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5"/>
      <c r="Z162" s="5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6"/>
      <c r="AR162" s="6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7"/>
      <c r="BF162" s="7"/>
      <c r="BG162" s="44"/>
      <c r="BH162" s="44"/>
      <c r="BI162" s="44"/>
      <c r="BJ162" s="44"/>
      <c r="BK162" s="44"/>
      <c r="BL162" s="44"/>
      <c r="BM162" s="44"/>
      <c r="BN162" s="44"/>
      <c r="BO162" s="8"/>
      <c r="BP162" s="8"/>
      <c r="BQ162" s="44"/>
      <c r="BR162" s="44"/>
      <c r="BS162" s="44"/>
      <c r="BT162" s="44"/>
      <c r="BU162" s="45"/>
      <c r="BV162" s="44"/>
      <c r="BW162" s="44"/>
      <c r="BX162" s="44"/>
      <c r="BY162" s="44"/>
      <c r="BZ162" s="46"/>
      <c r="CA162" s="44"/>
      <c r="CB162" s="44"/>
      <c r="CC162" s="44"/>
      <c r="CD162" s="44"/>
      <c r="CE162" s="47"/>
      <c r="CF162" s="44"/>
      <c r="CG162" s="44"/>
      <c r="CH162" s="44"/>
      <c r="CI162" s="44"/>
      <c r="CJ162" s="48"/>
      <c r="CK162" s="44"/>
      <c r="CL162" s="44"/>
      <c r="CM162" s="44"/>
      <c r="CN162" s="44"/>
      <c r="CO162" s="49"/>
      <c r="CP162" s="44"/>
      <c r="CQ162" s="44"/>
      <c r="CR162" s="44"/>
      <c r="CS162" s="44"/>
      <c r="CT162" s="15"/>
      <c r="CU162" s="16"/>
      <c r="CV162" s="16"/>
      <c r="CW162" s="16"/>
      <c r="CX162" s="15"/>
      <c r="CY162" s="16"/>
      <c r="CZ162" s="29"/>
    </row>
    <row r="163" spans="1:104">
      <c r="A163" s="50"/>
      <c r="B163" s="43"/>
      <c r="C163" s="43"/>
      <c r="D163" s="29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5"/>
      <c r="Z163" s="5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6"/>
      <c r="AR163" s="6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7"/>
      <c r="BF163" s="7"/>
      <c r="BG163" s="44"/>
      <c r="BH163" s="44"/>
      <c r="BI163" s="44"/>
      <c r="BJ163" s="44"/>
      <c r="BK163" s="44"/>
      <c r="BL163" s="44"/>
      <c r="BM163" s="44"/>
      <c r="BN163" s="44"/>
      <c r="BO163" s="8"/>
      <c r="BP163" s="8"/>
      <c r="BQ163" s="44"/>
      <c r="BR163" s="44"/>
      <c r="BS163" s="44"/>
      <c r="BT163" s="44"/>
      <c r="BU163" s="45"/>
      <c r="BV163" s="44"/>
      <c r="BW163" s="44"/>
      <c r="BX163" s="44"/>
      <c r="BY163" s="44"/>
      <c r="BZ163" s="46"/>
      <c r="CA163" s="44"/>
      <c r="CB163" s="44"/>
      <c r="CC163" s="44"/>
      <c r="CD163" s="44"/>
      <c r="CE163" s="47"/>
      <c r="CF163" s="44"/>
      <c r="CG163" s="44"/>
      <c r="CH163" s="44"/>
      <c r="CI163" s="44"/>
      <c r="CJ163" s="48"/>
      <c r="CK163" s="44"/>
      <c r="CL163" s="44"/>
      <c r="CM163" s="44"/>
      <c r="CN163" s="44"/>
      <c r="CO163" s="49"/>
      <c r="CP163" s="44"/>
      <c r="CQ163" s="44"/>
      <c r="CR163" s="44"/>
      <c r="CS163" s="44"/>
      <c r="CT163" s="15"/>
      <c r="CU163" s="16"/>
      <c r="CV163" s="16"/>
      <c r="CW163" s="16"/>
      <c r="CX163" s="15"/>
      <c r="CY163" s="16"/>
      <c r="CZ163" s="29"/>
    </row>
    <row r="164" spans="1:104" ht="14.25" customHeight="1">
      <c r="A164" s="50"/>
      <c r="B164" s="43"/>
      <c r="C164" s="43"/>
      <c r="D164" s="29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5"/>
      <c r="Z164" s="5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6"/>
      <c r="AR164" s="6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7"/>
      <c r="BF164" s="7"/>
      <c r="BG164" s="44"/>
      <c r="BH164" s="44"/>
      <c r="BI164" s="44"/>
      <c r="BJ164" s="44"/>
      <c r="BK164" s="44"/>
      <c r="BL164" s="44"/>
      <c r="BM164" s="44"/>
      <c r="BN164" s="44"/>
      <c r="BO164" s="8"/>
      <c r="BP164" s="8"/>
      <c r="BQ164" s="44"/>
      <c r="BR164" s="44"/>
      <c r="BS164" s="44"/>
      <c r="BT164" s="44"/>
      <c r="BU164" s="45"/>
      <c r="BV164" s="44"/>
      <c r="BW164" s="44"/>
      <c r="BX164" s="44"/>
      <c r="BY164" s="44"/>
      <c r="BZ164" s="46"/>
      <c r="CA164" s="44"/>
      <c r="CB164" s="44"/>
      <c r="CC164" s="44"/>
      <c r="CD164" s="44"/>
      <c r="CE164" s="47"/>
      <c r="CF164" s="44"/>
      <c r="CG164" s="44"/>
      <c r="CH164" s="44"/>
      <c r="CI164" s="44"/>
      <c r="CJ164" s="48"/>
      <c r="CK164" s="44"/>
      <c r="CL164" s="44"/>
      <c r="CM164" s="44"/>
      <c r="CN164" s="44"/>
      <c r="CO164" s="49"/>
      <c r="CP164" s="44"/>
      <c r="CQ164" s="44"/>
      <c r="CR164" s="44"/>
      <c r="CS164" s="44"/>
      <c r="CT164" s="15"/>
      <c r="CU164" s="16"/>
      <c r="CV164" s="16"/>
      <c r="CW164" s="16"/>
      <c r="CX164" s="15"/>
      <c r="CY164" s="16"/>
      <c r="CZ164" s="29"/>
    </row>
    <row r="165" spans="1:104">
      <c r="A165" s="50"/>
      <c r="B165" s="43"/>
      <c r="C165" s="43"/>
      <c r="D165" s="29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5"/>
      <c r="Z165" s="5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6"/>
      <c r="AR165" s="6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7"/>
      <c r="BF165" s="7"/>
      <c r="BG165" s="44"/>
      <c r="BH165" s="44"/>
      <c r="BI165" s="44"/>
      <c r="BJ165" s="44"/>
      <c r="BK165" s="44"/>
      <c r="BL165" s="44"/>
      <c r="BM165" s="44"/>
      <c r="BN165" s="44"/>
      <c r="BO165" s="8"/>
      <c r="BP165" s="8"/>
      <c r="BQ165" s="44"/>
      <c r="BR165" s="44"/>
      <c r="BS165" s="44"/>
      <c r="BT165" s="44"/>
      <c r="BU165" s="45"/>
      <c r="BV165" s="44"/>
      <c r="BW165" s="44"/>
      <c r="BX165" s="44"/>
      <c r="BY165" s="44"/>
      <c r="BZ165" s="46"/>
      <c r="CA165" s="44"/>
      <c r="CB165" s="44"/>
      <c r="CC165" s="44"/>
      <c r="CD165" s="44"/>
      <c r="CE165" s="47"/>
      <c r="CF165" s="44"/>
      <c r="CG165" s="44"/>
      <c r="CH165" s="44"/>
      <c r="CI165" s="44"/>
      <c r="CJ165" s="48"/>
      <c r="CK165" s="44"/>
      <c r="CL165" s="44"/>
      <c r="CM165" s="44"/>
      <c r="CN165" s="44"/>
      <c r="CO165" s="49"/>
      <c r="CP165" s="44"/>
      <c r="CQ165" s="44"/>
      <c r="CR165" s="44"/>
      <c r="CS165" s="44"/>
      <c r="CT165" s="15"/>
      <c r="CU165" s="16"/>
      <c r="CV165" s="16"/>
      <c r="CW165" s="16"/>
      <c r="CX165" s="15"/>
      <c r="CY165" s="16"/>
      <c r="CZ165" s="29"/>
    </row>
    <row r="166" spans="1:104" ht="14.25" customHeight="1">
      <c r="A166" s="50"/>
      <c r="B166" s="43"/>
      <c r="C166" s="43"/>
      <c r="D166" s="29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5"/>
      <c r="Z166" s="5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6"/>
      <c r="AR166" s="6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7"/>
      <c r="BF166" s="7"/>
      <c r="BG166" s="44"/>
      <c r="BH166" s="44"/>
      <c r="BI166" s="44"/>
      <c r="BJ166" s="44"/>
      <c r="BK166" s="44"/>
      <c r="BL166" s="44"/>
      <c r="BM166" s="44"/>
      <c r="BN166" s="44"/>
      <c r="BO166" s="8"/>
      <c r="BP166" s="8"/>
      <c r="BQ166" s="44"/>
      <c r="BR166" s="44"/>
      <c r="BS166" s="44"/>
      <c r="BT166" s="44"/>
      <c r="BU166" s="45"/>
      <c r="BV166" s="44"/>
      <c r="BW166" s="44"/>
      <c r="BX166" s="44"/>
      <c r="BY166" s="44"/>
      <c r="BZ166" s="46"/>
      <c r="CA166" s="44"/>
      <c r="CB166" s="44"/>
      <c r="CC166" s="44"/>
      <c r="CD166" s="44"/>
      <c r="CE166" s="47"/>
      <c r="CF166" s="44"/>
      <c r="CG166" s="44"/>
      <c r="CH166" s="44"/>
      <c r="CI166" s="44"/>
      <c r="CJ166" s="48"/>
      <c r="CK166" s="44"/>
      <c r="CL166" s="44"/>
      <c r="CM166" s="44"/>
      <c r="CN166" s="44"/>
      <c r="CO166" s="49"/>
      <c r="CP166" s="44"/>
      <c r="CQ166" s="44"/>
      <c r="CR166" s="44"/>
      <c r="CS166" s="44"/>
      <c r="CT166" s="15"/>
      <c r="CU166" s="16"/>
      <c r="CV166" s="16"/>
      <c r="CW166" s="16"/>
      <c r="CX166" s="15"/>
      <c r="CY166" s="16"/>
      <c r="CZ166" s="29"/>
    </row>
    <row r="167" spans="1:104">
      <c r="A167" s="50"/>
      <c r="B167" s="43"/>
      <c r="C167" s="43"/>
      <c r="D167" s="29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5"/>
      <c r="Z167" s="5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6"/>
      <c r="AR167" s="6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7"/>
      <c r="BF167" s="7"/>
      <c r="BG167" s="44"/>
      <c r="BH167" s="44"/>
      <c r="BI167" s="44"/>
      <c r="BJ167" s="44"/>
      <c r="BK167" s="44"/>
      <c r="BL167" s="44"/>
      <c r="BM167" s="44"/>
      <c r="BN167" s="44"/>
      <c r="BO167" s="8"/>
      <c r="BP167" s="8"/>
      <c r="BQ167" s="44"/>
      <c r="BR167" s="44"/>
      <c r="BS167" s="44"/>
      <c r="BT167" s="44"/>
      <c r="BU167" s="45"/>
      <c r="BV167" s="44"/>
      <c r="BW167" s="44"/>
      <c r="BX167" s="44"/>
      <c r="BY167" s="44"/>
      <c r="BZ167" s="46"/>
      <c r="CA167" s="44"/>
      <c r="CB167" s="44"/>
      <c r="CC167" s="44"/>
      <c r="CD167" s="44"/>
      <c r="CE167" s="47"/>
      <c r="CF167" s="44"/>
      <c r="CG167" s="44"/>
      <c r="CH167" s="44"/>
      <c r="CI167" s="44"/>
      <c r="CJ167" s="48"/>
      <c r="CK167" s="44"/>
      <c r="CL167" s="44"/>
      <c r="CM167" s="44"/>
      <c r="CN167" s="44"/>
      <c r="CO167" s="49"/>
      <c r="CP167" s="44"/>
      <c r="CQ167" s="44"/>
      <c r="CR167" s="44"/>
      <c r="CS167" s="44"/>
      <c r="CT167" s="15"/>
      <c r="CU167" s="16"/>
      <c r="CV167" s="16"/>
      <c r="CW167" s="16"/>
      <c r="CX167" s="15"/>
      <c r="CY167" s="16"/>
      <c r="CZ167" s="29"/>
    </row>
    <row r="168" spans="1:104" ht="14.25" customHeight="1">
      <c r="A168" s="50"/>
      <c r="B168" s="43"/>
      <c r="C168" s="43"/>
      <c r="D168" s="29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5"/>
      <c r="Z168" s="5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6"/>
      <c r="AR168" s="6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7"/>
      <c r="BF168" s="7"/>
      <c r="BG168" s="44"/>
      <c r="BH168" s="44"/>
      <c r="BI168" s="44"/>
      <c r="BJ168" s="44"/>
      <c r="BK168" s="44"/>
      <c r="BL168" s="44"/>
      <c r="BM168" s="44"/>
      <c r="BN168" s="44"/>
      <c r="BO168" s="8"/>
      <c r="BP168" s="8"/>
      <c r="BQ168" s="44"/>
      <c r="BR168" s="44"/>
      <c r="BS168" s="44"/>
      <c r="BT168" s="44"/>
      <c r="BU168" s="45"/>
      <c r="BV168" s="44"/>
      <c r="BW168" s="44"/>
      <c r="BX168" s="44"/>
      <c r="BY168" s="44"/>
      <c r="BZ168" s="46"/>
      <c r="CA168" s="44"/>
      <c r="CB168" s="44"/>
      <c r="CC168" s="44"/>
      <c r="CD168" s="44"/>
      <c r="CE168" s="47"/>
      <c r="CF168" s="44"/>
      <c r="CG168" s="44"/>
      <c r="CH168" s="44"/>
      <c r="CI168" s="44"/>
      <c r="CJ168" s="48"/>
      <c r="CK168" s="44"/>
      <c r="CL168" s="44"/>
      <c r="CM168" s="44"/>
      <c r="CN168" s="44"/>
      <c r="CO168" s="49"/>
      <c r="CP168" s="44"/>
      <c r="CQ168" s="44"/>
      <c r="CR168" s="44"/>
      <c r="CS168" s="44"/>
      <c r="CT168" s="15"/>
      <c r="CU168" s="16"/>
      <c r="CV168" s="16"/>
      <c r="CW168" s="16"/>
      <c r="CX168" s="15"/>
      <c r="CY168" s="16"/>
      <c r="CZ168" s="29"/>
    </row>
    <row r="169" spans="1:104">
      <c r="A169" s="50"/>
      <c r="B169" s="43"/>
      <c r="C169" s="43"/>
      <c r="D169" s="29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5"/>
      <c r="Z169" s="5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6"/>
      <c r="AR169" s="6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7"/>
      <c r="BF169" s="7"/>
      <c r="BG169" s="44"/>
      <c r="BH169" s="44"/>
      <c r="BI169" s="44"/>
      <c r="BJ169" s="44"/>
      <c r="BK169" s="44"/>
      <c r="BL169" s="44"/>
      <c r="BM169" s="44"/>
      <c r="BN169" s="44"/>
      <c r="BO169" s="8"/>
      <c r="BP169" s="8"/>
      <c r="BQ169" s="44"/>
      <c r="BR169" s="44"/>
      <c r="BS169" s="44"/>
      <c r="BT169" s="44"/>
      <c r="BU169" s="45"/>
      <c r="BV169" s="44"/>
      <c r="BW169" s="44"/>
      <c r="BX169" s="44"/>
      <c r="BY169" s="44"/>
      <c r="BZ169" s="46"/>
      <c r="CA169" s="44"/>
      <c r="CB169" s="44"/>
      <c r="CC169" s="44"/>
      <c r="CD169" s="44"/>
      <c r="CE169" s="47"/>
      <c r="CF169" s="44"/>
      <c r="CG169" s="44"/>
      <c r="CH169" s="44"/>
      <c r="CI169" s="44"/>
      <c r="CJ169" s="48"/>
      <c r="CK169" s="44"/>
      <c r="CL169" s="44"/>
      <c r="CM169" s="44"/>
      <c r="CN169" s="44"/>
      <c r="CO169" s="49"/>
      <c r="CP169" s="44"/>
      <c r="CQ169" s="44"/>
      <c r="CR169" s="44"/>
      <c r="CS169" s="44"/>
      <c r="CT169" s="15"/>
      <c r="CU169" s="16"/>
      <c r="CV169" s="16"/>
      <c r="CW169" s="16"/>
      <c r="CX169" s="15"/>
      <c r="CY169" s="16"/>
      <c r="CZ169" s="29"/>
    </row>
    <row r="170" spans="1:104">
      <c r="A170" s="50"/>
      <c r="B170" s="84"/>
      <c r="C170" s="43"/>
      <c r="D170" s="29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5"/>
      <c r="Z170" s="5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6"/>
      <c r="AR170" s="6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7"/>
      <c r="BF170" s="7"/>
      <c r="BG170" s="44"/>
      <c r="BH170" s="44"/>
      <c r="BI170" s="44"/>
      <c r="BJ170" s="44"/>
      <c r="BK170" s="44"/>
      <c r="BL170" s="44"/>
      <c r="BM170" s="44"/>
      <c r="BN170" s="44"/>
      <c r="BO170" s="8"/>
      <c r="BP170" s="8"/>
      <c r="BQ170" s="44"/>
      <c r="BR170" s="44"/>
      <c r="BS170" s="44"/>
      <c r="BT170" s="44"/>
      <c r="BU170" s="45"/>
      <c r="BV170" s="44"/>
      <c r="BW170" s="44"/>
      <c r="BX170" s="44"/>
      <c r="BY170" s="44"/>
      <c r="BZ170" s="46"/>
      <c r="CA170" s="44"/>
      <c r="CB170" s="44"/>
      <c r="CC170" s="44"/>
      <c r="CD170" s="44"/>
      <c r="CE170" s="47"/>
      <c r="CF170" s="44"/>
      <c r="CG170" s="44"/>
      <c r="CH170" s="44"/>
      <c r="CI170" s="44"/>
      <c r="CJ170" s="48"/>
      <c r="CK170" s="44"/>
      <c r="CL170" s="44"/>
      <c r="CM170" s="44"/>
      <c r="CN170" s="44"/>
      <c r="CO170" s="49"/>
      <c r="CP170" s="44"/>
      <c r="CQ170" s="44"/>
      <c r="CR170" s="44"/>
      <c r="CS170" s="44"/>
      <c r="CT170" s="15"/>
      <c r="CU170" s="16"/>
      <c r="CV170" s="16"/>
      <c r="CW170" s="16"/>
      <c r="CX170" s="15"/>
      <c r="CY170" s="16"/>
      <c r="CZ170" s="29"/>
    </row>
    <row r="171" spans="1:104">
      <c r="A171" s="50"/>
      <c r="B171" s="43"/>
      <c r="C171" s="43"/>
      <c r="D171" s="29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5"/>
      <c r="Z171" s="5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6"/>
      <c r="AR171" s="6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7"/>
      <c r="BF171" s="7"/>
      <c r="BG171" s="44"/>
      <c r="BH171" s="44"/>
      <c r="BI171" s="44"/>
      <c r="BJ171" s="44"/>
      <c r="BK171" s="44"/>
      <c r="BL171" s="44"/>
      <c r="BM171" s="44"/>
      <c r="BN171" s="44"/>
      <c r="BO171" s="8"/>
      <c r="BP171" s="8"/>
      <c r="BQ171" s="44"/>
      <c r="BR171" s="44"/>
      <c r="BS171" s="44"/>
      <c r="BT171" s="44"/>
      <c r="BU171" s="45"/>
      <c r="BV171" s="44"/>
      <c r="BW171" s="44"/>
      <c r="BX171" s="44"/>
      <c r="BY171" s="44"/>
      <c r="BZ171" s="46"/>
      <c r="CA171" s="44"/>
      <c r="CB171" s="44"/>
      <c r="CC171" s="44"/>
      <c r="CD171" s="44"/>
      <c r="CE171" s="47"/>
      <c r="CF171" s="44"/>
      <c r="CG171" s="44"/>
      <c r="CH171" s="44"/>
      <c r="CI171" s="44"/>
      <c r="CJ171" s="48"/>
      <c r="CK171" s="44"/>
      <c r="CL171" s="44"/>
      <c r="CM171" s="44"/>
      <c r="CN171" s="44"/>
      <c r="CO171" s="49"/>
      <c r="CP171" s="44"/>
      <c r="CQ171" s="44"/>
      <c r="CR171" s="44"/>
      <c r="CS171" s="44"/>
      <c r="CT171" s="15"/>
      <c r="CU171" s="16"/>
      <c r="CV171" s="16"/>
      <c r="CW171" s="16"/>
      <c r="CX171" s="15"/>
      <c r="CY171" s="16"/>
      <c r="CZ171" s="29"/>
    </row>
    <row r="172" spans="1:104">
      <c r="A172" s="50"/>
      <c r="B172" s="43"/>
      <c r="C172" s="43"/>
      <c r="D172" s="29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5"/>
      <c r="Z172" s="5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6"/>
      <c r="AR172" s="6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7"/>
      <c r="BF172" s="7"/>
      <c r="BG172" s="44"/>
      <c r="BH172" s="44"/>
      <c r="BI172" s="44"/>
      <c r="BJ172" s="44"/>
      <c r="BK172" s="44"/>
      <c r="BL172" s="44"/>
      <c r="BM172" s="44"/>
      <c r="BN172" s="44"/>
      <c r="BO172" s="8"/>
      <c r="BP172" s="8"/>
      <c r="BQ172" s="44"/>
      <c r="BR172" s="44"/>
      <c r="BS172" s="44"/>
      <c r="BT172" s="44"/>
      <c r="BU172" s="45"/>
      <c r="BV172" s="44"/>
      <c r="BW172" s="44"/>
      <c r="BX172" s="44"/>
      <c r="BY172" s="44"/>
      <c r="BZ172" s="46"/>
      <c r="CA172" s="44"/>
      <c r="CB172" s="44"/>
      <c r="CC172" s="44"/>
      <c r="CD172" s="44"/>
      <c r="CE172" s="47"/>
      <c r="CF172" s="44"/>
      <c r="CG172" s="44"/>
      <c r="CH172" s="44"/>
      <c r="CI172" s="44"/>
      <c r="CJ172" s="48"/>
      <c r="CK172" s="44"/>
      <c r="CL172" s="44"/>
      <c r="CM172" s="44"/>
      <c r="CN172" s="44"/>
      <c r="CO172" s="49"/>
      <c r="CP172" s="44"/>
      <c r="CQ172" s="44"/>
      <c r="CR172" s="44"/>
      <c r="CS172" s="44"/>
      <c r="CT172" s="15"/>
      <c r="CU172" s="16"/>
      <c r="CV172" s="16"/>
      <c r="CW172" s="16"/>
      <c r="CX172" s="15"/>
      <c r="CY172" s="16"/>
      <c r="CZ172" s="29"/>
    </row>
    <row r="173" spans="1:104">
      <c r="A173" s="50"/>
      <c r="B173" s="43"/>
      <c r="C173" s="43"/>
      <c r="D173" s="29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5"/>
      <c r="Z173" s="5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6"/>
      <c r="AR173" s="6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7"/>
      <c r="BF173" s="7"/>
      <c r="BG173" s="44"/>
      <c r="BH173" s="44"/>
      <c r="BI173" s="44"/>
      <c r="BJ173" s="44"/>
      <c r="BK173" s="44"/>
      <c r="BL173" s="44"/>
      <c r="BM173" s="44"/>
      <c r="BN173" s="44"/>
      <c r="BO173" s="8"/>
      <c r="BP173" s="8"/>
      <c r="BQ173" s="44"/>
      <c r="BR173" s="44"/>
      <c r="BS173" s="44"/>
      <c r="BT173" s="44"/>
      <c r="BU173" s="45"/>
      <c r="BV173" s="44"/>
      <c r="BW173" s="44"/>
      <c r="BX173" s="44"/>
      <c r="BY173" s="44"/>
      <c r="BZ173" s="46"/>
      <c r="CA173" s="44"/>
      <c r="CB173" s="44"/>
      <c r="CC173" s="44"/>
      <c r="CD173" s="44"/>
      <c r="CE173" s="47"/>
      <c r="CF173" s="44"/>
      <c r="CG173" s="44"/>
      <c r="CH173" s="44"/>
      <c r="CI173" s="44"/>
      <c r="CJ173" s="48"/>
      <c r="CK173" s="44"/>
      <c r="CL173" s="44"/>
      <c r="CM173" s="44"/>
      <c r="CN173" s="44"/>
      <c r="CO173" s="49"/>
      <c r="CP173" s="44"/>
      <c r="CQ173" s="44"/>
      <c r="CR173" s="44"/>
      <c r="CS173" s="44"/>
      <c r="CT173" s="15"/>
      <c r="CU173" s="16"/>
      <c r="CV173" s="16"/>
      <c r="CW173" s="16"/>
      <c r="CX173" s="15"/>
      <c r="CY173" s="16"/>
      <c r="CZ173" s="29"/>
    </row>
    <row r="174" spans="1:104">
      <c r="A174" s="50"/>
      <c r="B174" s="43"/>
      <c r="C174" s="43"/>
      <c r="D174" s="29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5"/>
      <c r="Z174" s="5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6"/>
      <c r="AR174" s="6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7"/>
      <c r="BF174" s="7"/>
      <c r="BG174" s="44"/>
      <c r="BH174" s="44"/>
      <c r="BI174" s="44"/>
      <c r="BJ174" s="44"/>
      <c r="BK174" s="44"/>
      <c r="BL174" s="44"/>
      <c r="BM174" s="44"/>
      <c r="BN174" s="44"/>
      <c r="BO174" s="8"/>
      <c r="BP174" s="8"/>
      <c r="BQ174" s="44"/>
      <c r="BR174" s="44"/>
      <c r="BS174" s="44"/>
      <c r="BT174" s="44"/>
      <c r="BU174" s="45"/>
      <c r="BV174" s="44"/>
      <c r="BW174" s="44"/>
      <c r="BX174" s="44"/>
      <c r="BY174" s="44"/>
      <c r="BZ174" s="46"/>
      <c r="CA174" s="44"/>
      <c r="CB174" s="44"/>
      <c r="CC174" s="44"/>
      <c r="CD174" s="44"/>
      <c r="CE174" s="47"/>
      <c r="CF174" s="44"/>
      <c r="CG174" s="44"/>
      <c r="CH174" s="44"/>
      <c r="CI174" s="44"/>
      <c r="CJ174" s="48"/>
      <c r="CK174" s="44"/>
      <c r="CL174" s="44"/>
      <c r="CM174" s="44"/>
      <c r="CN174" s="44"/>
      <c r="CO174" s="49"/>
      <c r="CP174" s="44"/>
      <c r="CQ174" s="44"/>
      <c r="CR174" s="44"/>
      <c r="CS174" s="44"/>
      <c r="CT174" s="15"/>
      <c r="CU174" s="16"/>
      <c r="CV174" s="16"/>
      <c r="CW174" s="16"/>
      <c r="CX174" s="15"/>
      <c r="CY174" s="16"/>
      <c r="CZ174" s="29"/>
    </row>
    <row r="175" spans="1:104">
      <c r="A175" s="50"/>
      <c r="B175" s="43"/>
      <c r="C175" s="43"/>
      <c r="D175" s="29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5"/>
      <c r="Z175" s="5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6"/>
      <c r="AR175" s="6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7"/>
      <c r="BF175" s="7"/>
      <c r="BG175" s="44"/>
      <c r="BH175" s="44"/>
      <c r="BI175" s="44"/>
      <c r="BJ175" s="44"/>
      <c r="BK175" s="44"/>
      <c r="BL175" s="44"/>
      <c r="BM175" s="44"/>
      <c r="BN175" s="44"/>
      <c r="BO175" s="8"/>
      <c r="BP175" s="8"/>
      <c r="BQ175" s="44"/>
      <c r="BR175" s="44"/>
      <c r="BS175" s="44"/>
      <c r="BT175" s="44"/>
      <c r="BU175" s="45"/>
      <c r="BV175" s="44"/>
      <c r="BW175" s="44"/>
      <c r="BX175" s="44"/>
      <c r="BY175" s="44"/>
      <c r="BZ175" s="46"/>
      <c r="CA175" s="44"/>
      <c r="CB175" s="44"/>
      <c r="CC175" s="44"/>
      <c r="CD175" s="44"/>
      <c r="CE175" s="47"/>
      <c r="CF175" s="44"/>
      <c r="CG175" s="44"/>
      <c r="CH175" s="44"/>
      <c r="CI175" s="44"/>
      <c r="CJ175" s="48"/>
      <c r="CK175" s="44"/>
      <c r="CL175" s="44"/>
      <c r="CM175" s="44"/>
      <c r="CN175" s="44"/>
      <c r="CO175" s="49"/>
      <c r="CP175" s="44"/>
      <c r="CQ175" s="44"/>
      <c r="CR175" s="44"/>
      <c r="CS175" s="44"/>
      <c r="CT175" s="15"/>
      <c r="CU175" s="16"/>
      <c r="CV175" s="16"/>
      <c r="CW175" s="16"/>
      <c r="CX175" s="15"/>
      <c r="CY175" s="16"/>
      <c r="CZ175" s="29"/>
    </row>
    <row r="176" spans="1:104">
      <c r="A176" s="129"/>
      <c r="B176" s="130"/>
      <c r="C176" s="130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</row>
    <row r="177" spans="1:104">
      <c r="A177" s="129"/>
      <c r="B177" s="130"/>
      <c r="C177" s="130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</row>
    <row r="178" spans="1:104">
      <c r="A178" s="129"/>
      <c r="B178" s="130"/>
      <c r="C178" s="130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</row>
    <row r="179" spans="1:104">
      <c r="A179" s="129"/>
      <c r="B179" s="130"/>
      <c r="C179" s="130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</row>
    <row r="180" spans="1:104" s="29" customFormat="1" ht="15" customHeight="1">
      <c r="A180" s="133"/>
      <c r="B180" s="51"/>
      <c r="C180" s="43"/>
      <c r="D180" s="43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145"/>
      <c r="Z180" s="157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158"/>
      <c r="AR180" s="158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159"/>
      <c r="BF180" s="159"/>
      <c r="BG180" s="44"/>
      <c r="BH180" s="44"/>
      <c r="BI180" s="44"/>
      <c r="BJ180" s="44"/>
      <c r="BK180" s="44"/>
      <c r="BL180" s="44"/>
      <c r="BM180" s="44"/>
      <c r="BN180" s="44"/>
      <c r="BO180" s="160"/>
      <c r="BP180" s="160"/>
      <c r="BQ180" s="44"/>
      <c r="BR180" s="44"/>
      <c r="BS180" s="44"/>
      <c r="BT180" s="44"/>
      <c r="BU180" s="45"/>
      <c r="BV180" s="44"/>
      <c r="BW180" s="44"/>
      <c r="BX180" s="44"/>
      <c r="BY180" s="44"/>
      <c r="BZ180" s="46"/>
      <c r="CA180" s="44"/>
      <c r="CB180" s="44"/>
      <c r="CC180" s="44"/>
      <c r="CD180" s="44"/>
      <c r="CE180" s="47"/>
      <c r="CF180" s="44"/>
      <c r="CG180" s="44"/>
      <c r="CH180" s="44"/>
      <c r="CI180" s="44"/>
      <c r="CJ180" s="48"/>
      <c r="CK180" s="44"/>
      <c r="CL180" s="44"/>
      <c r="CM180" s="44"/>
      <c r="CN180" s="44"/>
      <c r="CO180" s="49"/>
      <c r="CP180" s="44"/>
      <c r="CQ180" s="44"/>
      <c r="CR180" s="44"/>
      <c r="CS180" s="44"/>
      <c r="CT180" s="161"/>
      <c r="CU180" s="162"/>
      <c r="CV180" s="162"/>
      <c r="CW180" s="162"/>
      <c r="CX180" s="161"/>
      <c r="CY180" s="162"/>
    </row>
    <row r="181" spans="1:104" ht="14.25" customHeight="1">
      <c r="A181" s="133"/>
      <c r="B181" s="54"/>
      <c r="C181" s="143"/>
      <c r="D181" s="143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5"/>
      <c r="Z181" s="145"/>
      <c r="AA181" s="144"/>
      <c r="AB181" s="144"/>
      <c r="AC181" s="144"/>
      <c r="AD181" s="144"/>
      <c r="AE181" s="144"/>
      <c r="AF181" s="144"/>
      <c r="AG181" s="144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6"/>
      <c r="AR181" s="146"/>
      <c r="AS181" s="144"/>
      <c r="AT181" s="144"/>
      <c r="AU181" s="144"/>
      <c r="AV181" s="144"/>
      <c r="AW181" s="144"/>
      <c r="AX181" s="144"/>
      <c r="AY181" s="144"/>
      <c r="AZ181" s="144"/>
      <c r="BA181" s="144"/>
      <c r="BB181" s="144"/>
      <c r="BC181" s="144"/>
      <c r="BD181" s="144"/>
      <c r="BE181" s="147"/>
      <c r="BF181" s="147"/>
      <c r="BG181" s="144"/>
      <c r="BH181" s="144"/>
      <c r="BI181" s="144"/>
      <c r="BJ181" s="144"/>
      <c r="BK181" s="144"/>
      <c r="BL181" s="144"/>
      <c r="BM181" s="144"/>
      <c r="BN181" s="144"/>
      <c r="BO181" s="148"/>
      <c r="BP181" s="148"/>
      <c r="BQ181" s="144"/>
      <c r="BR181" s="144"/>
      <c r="BS181" s="144"/>
      <c r="BT181" s="144"/>
      <c r="BU181" s="149"/>
      <c r="BV181" s="144"/>
      <c r="BW181" s="144"/>
      <c r="BX181" s="144"/>
      <c r="BY181" s="144"/>
      <c r="BZ181" s="150"/>
      <c r="CA181" s="144"/>
      <c r="CB181" s="144"/>
      <c r="CC181" s="144"/>
      <c r="CD181" s="144"/>
      <c r="CE181" s="151"/>
      <c r="CF181" s="144"/>
      <c r="CG181" s="144"/>
      <c r="CH181" s="144"/>
      <c r="CI181" s="144"/>
      <c r="CJ181" s="152"/>
      <c r="CK181" s="144"/>
      <c r="CL181" s="144"/>
      <c r="CM181" s="144"/>
      <c r="CN181" s="144"/>
      <c r="CO181" s="153"/>
      <c r="CP181" s="144"/>
      <c r="CQ181" s="144"/>
      <c r="CR181" s="144"/>
      <c r="CS181" s="144"/>
      <c r="CT181" s="154"/>
      <c r="CU181" s="155"/>
      <c r="CV181" s="155"/>
      <c r="CW181" s="155"/>
      <c r="CX181" s="154"/>
      <c r="CY181" s="155"/>
      <c r="CZ181" s="156"/>
    </row>
    <row r="182" spans="1:104" ht="15" customHeight="1">
      <c r="A182" s="133"/>
      <c r="B182" s="51"/>
      <c r="C182" s="43"/>
      <c r="D182" s="43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5"/>
      <c r="Z182" s="5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6"/>
      <c r="AR182" s="6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7"/>
      <c r="BF182" s="7"/>
      <c r="BG182" s="44"/>
      <c r="BH182" s="44"/>
      <c r="BI182" s="44"/>
      <c r="BJ182" s="44"/>
      <c r="BK182" s="44"/>
      <c r="BL182" s="44"/>
      <c r="BM182" s="44"/>
      <c r="BN182" s="44"/>
      <c r="BO182" s="8"/>
      <c r="BP182" s="8"/>
      <c r="BQ182" s="44"/>
      <c r="BR182" s="44"/>
      <c r="BS182" s="44"/>
      <c r="BT182" s="44"/>
      <c r="BU182" s="45"/>
      <c r="BV182" s="44"/>
      <c r="BW182" s="44"/>
      <c r="BX182" s="44"/>
      <c r="BY182" s="44"/>
      <c r="BZ182" s="46"/>
      <c r="CA182" s="44"/>
      <c r="CB182" s="44"/>
      <c r="CC182" s="44"/>
      <c r="CD182" s="44"/>
      <c r="CE182" s="47"/>
      <c r="CF182" s="44"/>
      <c r="CG182" s="44"/>
      <c r="CH182" s="44"/>
      <c r="CI182" s="44"/>
      <c r="CJ182" s="48"/>
      <c r="CK182" s="44"/>
      <c r="CL182" s="44"/>
      <c r="CM182" s="44"/>
      <c r="CN182" s="44"/>
      <c r="CO182" s="49"/>
      <c r="CP182" s="44"/>
      <c r="CQ182" s="44"/>
      <c r="CR182" s="44"/>
      <c r="CS182" s="44"/>
      <c r="CT182" s="15"/>
      <c r="CU182" s="16"/>
      <c r="CV182" s="16"/>
      <c r="CW182" s="16"/>
      <c r="CX182" s="15"/>
      <c r="CY182" s="16"/>
      <c r="CZ182" s="29"/>
    </row>
    <row r="183" spans="1:104" ht="15" customHeight="1">
      <c r="A183" s="133"/>
      <c r="B183" s="51"/>
      <c r="C183" s="43"/>
      <c r="D183" s="43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5"/>
      <c r="Z183" s="5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6"/>
      <c r="AR183" s="6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7"/>
      <c r="BF183" s="7"/>
      <c r="BG183" s="44"/>
      <c r="BH183" s="44"/>
      <c r="BI183" s="44"/>
      <c r="BJ183" s="44"/>
      <c r="BK183" s="44"/>
      <c r="BL183" s="44"/>
      <c r="BM183" s="44"/>
      <c r="BN183" s="44"/>
      <c r="BO183" s="8"/>
      <c r="BP183" s="8"/>
      <c r="BQ183" s="44"/>
      <c r="BR183" s="44"/>
      <c r="BS183" s="44"/>
      <c r="BT183" s="44"/>
      <c r="BU183" s="45"/>
      <c r="BV183" s="44"/>
      <c r="BW183" s="44"/>
      <c r="BX183" s="44"/>
      <c r="BY183" s="44"/>
      <c r="BZ183" s="46"/>
      <c r="CA183" s="44"/>
      <c r="CB183" s="44"/>
      <c r="CC183" s="44"/>
      <c r="CD183" s="44"/>
      <c r="CE183" s="47"/>
      <c r="CF183" s="44"/>
      <c r="CG183" s="44"/>
      <c r="CH183" s="44"/>
      <c r="CI183" s="44"/>
      <c r="CJ183" s="48"/>
      <c r="CK183" s="44"/>
      <c r="CL183" s="44"/>
      <c r="CM183" s="44"/>
      <c r="CN183" s="44"/>
      <c r="CO183" s="49"/>
      <c r="CP183" s="44"/>
      <c r="CQ183" s="44"/>
      <c r="CR183" s="44"/>
      <c r="CS183" s="44"/>
      <c r="CT183" s="15"/>
      <c r="CU183" s="16"/>
      <c r="CV183" s="16"/>
      <c r="CW183" s="16"/>
      <c r="CX183" s="15"/>
      <c r="CY183" s="16"/>
      <c r="CZ183" s="29"/>
    </row>
    <row r="184" spans="1:104" ht="15" customHeight="1">
      <c r="A184" s="133"/>
      <c r="B184" s="51"/>
      <c r="C184" s="43"/>
      <c r="D184" s="43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5"/>
      <c r="Z184" s="5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6"/>
      <c r="AR184" s="6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7"/>
      <c r="BF184" s="7"/>
      <c r="BG184" s="44"/>
      <c r="BH184" s="44"/>
      <c r="BI184" s="44"/>
      <c r="BJ184" s="44"/>
      <c r="BK184" s="44"/>
      <c r="BL184" s="44"/>
      <c r="BM184" s="44"/>
      <c r="BN184" s="44"/>
      <c r="BO184" s="8"/>
      <c r="BP184" s="8"/>
      <c r="BQ184" s="44"/>
      <c r="BR184" s="44"/>
      <c r="BS184" s="44"/>
      <c r="BT184" s="44"/>
      <c r="BU184" s="45"/>
      <c r="BV184" s="44"/>
      <c r="BW184" s="44"/>
      <c r="BX184" s="44"/>
      <c r="BY184" s="44"/>
      <c r="BZ184" s="46"/>
      <c r="CA184" s="44"/>
      <c r="CB184" s="44"/>
      <c r="CC184" s="44"/>
      <c r="CD184" s="44"/>
      <c r="CE184" s="47"/>
      <c r="CF184" s="44"/>
      <c r="CG184" s="44"/>
      <c r="CH184" s="44"/>
      <c r="CI184" s="44"/>
      <c r="CJ184" s="48"/>
      <c r="CK184" s="44"/>
      <c r="CL184" s="44"/>
      <c r="CM184" s="44"/>
      <c r="CN184" s="44"/>
      <c r="CO184" s="49"/>
      <c r="CP184" s="44"/>
      <c r="CQ184" s="44"/>
      <c r="CR184" s="44"/>
      <c r="CS184" s="44"/>
      <c r="CT184" s="15"/>
      <c r="CU184" s="16"/>
      <c r="CV184" s="16"/>
      <c r="CW184" s="16"/>
      <c r="CX184" s="15"/>
      <c r="CY184" s="16"/>
      <c r="CZ184" s="29"/>
    </row>
    <row r="185" spans="1:104" ht="15" customHeight="1">
      <c r="A185" s="133"/>
      <c r="B185" s="51"/>
      <c r="C185" s="43"/>
      <c r="D185" s="43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5"/>
      <c r="Z185" s="5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6"/>
      <c r="AR185" s="6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7"/>
      <c r="BF185" s="7"/>
      <c r="BG185" s="44"/>
      <c r="BH185" s="44"/>
      <c r="BI185" s="44"/>
      <c r="BJ185" s="44"/>
      <c r="BK185" s="44"/>
      <c r="BL185" s="44"/>
      <c r="BM185" s="44"/>
      <c r="BN185" s="44"/>
      <c r="BO185" s="8"/>
      <c r="BP185" s="8"/>
      <c r="BQ185" s="44"/>
      <c r="BR185" s="44"/>
      <c r="BS185" s="44"/>
      <c r="BT185" s="44"/>
      <c r="BU185" s="45"/>
      <c r="BV185" s="44"/>
      <c r="BW185" s="44"/>
      <c r="BX185" s="44"/>
      <c r="BY185" s="44"/>
      <c r="BZ185" s="46"/>
      <c r="CA185" s="44"/>
      <c r="CB185" s="44"/>
      <c r="CC185" s="44"/>
      <c r="CD185" s="44"/>
      <c r="CE185" s="47"/>
      <c r="CF185" s="44"/>
      <c r="CG185" s="44"/>
      <c r="CH185" s="44"/>
      <c r="CI185" s="44"/>
      <c r="CJ185" s="48"/>
      <c r="CK185" s="44"/>
      <c r="CL185" s="44"/>
      <c r="CM185" s="44"/>
      <c r="CN185" s="44"/>
      <c r="CO185" s="49"/>
      <c r="CP185" s="44"/>
      <c r="CQ185" s="44"/>
      <c r="CR185" s="44"/>
      <c r="CS185" s="44"/>
      <c r="CT185" s="15"/>
      <c r="CU185" s="16"/>
      <c r="CV185" s="16"/>
      <c r="CW185" s="16"/>
      <c r="CX185" s="15"/>
      <c r="CY185" s="16"/>
      <c r="CZ185" s="29"/>
    </row>
    <row r="186" spans="1:104" ht="15" customHeight="1">
      <c r="A186" s="133"/>
      <c r="B186" s="51"/>
      <c r="C186" s="43"/>
      <c r="D186" s="43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5"/>
      <c r="Z186" s="5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6"/>
      <c r="AR186" s="6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7"/>
      <c r="BF186" s="7"/>
      <c r="BG186" s="44"/>
      <c r="BH186" s="44"/>
      <c r="BI186" s="44"/>
      <c r="BJ186" s="44"/>
      <c r="BK186" s="44"/>
      <c r="BL186" s="44"/>
      <c r="BM186" s="44"/>
      <c r="BN186" s="44"/>
      <c r="BO186" s="8"/>
      <c r="BP186" s="8"/>
      <c r="BQ186" s="44"/>
      <c r="BR186" s="44"/>
      <c r="BS186" s="44"/>
      <c r="BT186" s="44"/>
      <c r="BU186" s="45"/>
      <c r="BV186" s="44"/>
      <c r="BW186" s="44"/>
      <c r="BX186" s="44"/>
      <c r="BY186" s="44"/>
      <c r="BZ186" s="46"/>
      <c r="CA186" s="44"/>
      <c r="CB186" s="44"/>
      <c r="CC186" s="44"/>
      <c r="CD186" s="44"/>
      <c r="CE186" s="47"/>
      <c r="CF186" s="44"/>
      <c r="CG186" s="44"/>
      <c r="CH186" s="44"/>
      <c r="CI186" s="44"/>
      <c r="CJ186" s="48"/>
      <c r="CK186" s="44"/>
      <c r="CL186" s="44"/>
      <c r="CM186" s="44"/>
      <c r="CN186" s="44"/>
      <c r="CO186" s="49"/>
      <c r="CP186" s="44"/>
      <c r="CQ186" s="44"/>
      <c r="CR186" s="44"/>
      <c r="CS186" s="44"/>
      <c r="CT186" s="15"/>
      <c r="CU186" s="16"/>
      <c r="CV186" s="16"/>
      <c r="CW186" s="16"/>
      <c r="CX186" s="15"/>
      <c r="CY186" s="16"/>
      <c r="CZ186" s="29"/>
    </row>
    <row r="187" spans="1:104" ht="15" customHeight="1">
      <c r="A187" s="133"/>
      <c r="B187" s="51"/>
      <c r="C187" s="43"/>
      <c r="D187" s="43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5"/>
      <c r="Z187" s="5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6"/>
      <c r="AR187" s="6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7"/>
      <c r="BF187" s="7"/>
      <c r="BG187" s="44"/>
      <c r="BH187" s="44"/>
      <c r="BI187" s="44"/>
      <c r="BJ187" s="44"/>
      <c r="BK187" s="44"/>
      <c r="BL187" s="44"/>
      <c r="BM187" s="44"/>
      <c r="BN187" s="44"/>
      <c r="BO187" s="8"/>
      <c r="BP187" s="8"/>
      <c r="BQ187" s="44"/>
      <c r="BR187" s="44"/>
      <c r="BS187" s="44"/>
      <c r="BT187" s="44"/>
      <c r="BU187" s="45"/>
      <c r="BV187" s="44"/>
      <c r="BW187" s="44"/>
      <c r="BX187" s="44"/>
      <c r="BY187" s="44"/>
      <c r="BZ187" s="46"/>
      <c r="CA187" s="44"/>
      <c r="CB187" s="44"/>
      <c r="CC187" s="44"/>
      <c r="CD187" s="44"/>
      <c r="CE187" s="47"/>
      <c r="CF187" s="44"/>
      <c r="CG187" s="44"/>
      <c r="CH187" s="44"/>
      <c r="CI187" s="44"/>
      <c r="CJ187" s="48"/>
      <c r="CK187" s="44"/>
      <c r="CL187" s="44"/>
      <c r="CM187" s="44"/>
      <c r="CN187" s="44"/>
      <c r="CO187" s="49"/>
      <c r="CP187" s="44"/>
      <c r="CQ187" s="44"/>
      <c r="CR187" s="44"/>
      <c r="CS187" s="44"/>
      <c r="CT187" s="15"/>
      <c r="CU187" s="16"/>
      <c r="CV187" s="16"/>
      <c r="CW187" s="16"/>
      <c r="CX187" s="15"/>
      <c r="CY187" s="16"/>
      <c r="CZ187" s="29"/>
    </row>
    <row r="188" spans="1:104" ht="15" customHeight="1">
      <c r="A188" s="133"/>
      <c r="B188" s="52"/>
      <c r="C188" s="43"/>
      <c r="D188" s="43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5"/>
      <c r="Z188" s="5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6"/>
      <c r="AR188" s="6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7"/>
      <c r="BF188" s="7"/>
      <c r="BG188" s="44"/>
      <c r="BH188" s="44"/>
      <c r="BI188" s="44"/>
      <c r="BJ188" s="44"/>
      <c r="BK188" s="44"/>
      <c r="BL188" s="44"/>
      <c r="BM188" s="44"/>
      <c r="BN188" s="44"/>
      <c r="BO188" s="8"/>
      <c r="BP188" s="8"/>
      <c r="BQ188" s="44"/>
      <c r="BR188" s="44"/>
      <c r="BS188" s="44"/>
      <c r="BT188" s="44"/>
      <c r="BU188" s="45"/>
      <c r="BV188" s="44"/>
      <c r="BW188" s="44"/>
      <c r="BX188" s="44"/>
      <c r="BY188" s="44"/>
      <c r="BZ188" s="46"/>
      <c r="CA188" s="44"/>
      <c r="CB188" s="44"/>
      <c r="CC188" s="44"/>
      <c r="CD188" s="44"/>
      <c r="CE188" s="47"/>
      <c r="CF188" s="44"/>
      <c r="CG188" s="44"/>
      <c r="CH188" s="44"/>
      <c r="CI188" s="44"/>
      <c r="CJ188" s="48"/>
      <c r="CK188" s="44"/>
      <c r="CL188" s="44"/>
      <c r="CM188" s="44"/>
      <c r="CN188" s="44"/>
      <c r="CO188" s="49"/>
      <c r="CP188" s="44"/>
      <c r="CQ188" s="44"/>
      <c r="CR188" s="44"/>
      <c r="CS188" s="44"/>
      <c r="CT188" s="15"/>
      <c r="CU188" s="16"/>
      <c r="CV188" s="16"/>
      <c r="CW188" s="16"/>
      <c r="CX188" s="15"/>
      <c r="CY188" s="16"/>
      <c r="CZ188" s="29"/>
    </row>
    <row r="189" spans="1:104" ht="15" customHeight="1">
      <c r="A189" s="133"/>
      <c r="B189" s="51"/>
      <c r="C189" s="43"/>
      <c r="D189" s="43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5"/>
      <c r="Z189" s="5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6"/>
      <c r="AR189" s="6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7"/>
      <c r="BF189" s="7"/>
      <c r="BG189" s="44"/>
      <c r="BH189" s="44"/>
      <c r="BI189" s="44"/>
      <c r="BJ189" s="44"/>
      <c r="BK189" s="44"/>
      <c r="BL189" s="44"/>
      <c r="BM189" s="44"/>
      <c r="BN189" s="44"/>
      <c r="BO189" s="8"/>
      <c r="BP189" s="8"/>
      <c r="BQ189" s="44"/>
      <c r="BR189" s="44"/>
      <c r="BS189" s="44"/>
      <c r="BT189" s="44"/>
      <c r="BU189" s="45"/>
      <c r="BV189" s="44"/>
      <c r="BW189" s="44"/>
      <c r="BX189" s="44"/>
      <c r="BY189" s="44"/>
      <c r="BZ189" s="46"/>
      <c r="CA189" s="44"/>
      <c r="CB189" s="44"/>
      <c r="CC189" s="44"/>
      <c r="CD189" s="44"/>
      <c r="CE189" s="47"/>
      <c r="CF189" s="44"/>
      <c r="CG189" s="44"/>
      <c r="CH189" s="44"/>
      <c r="CI189" s="44"/>
      <c r="CJ189" s="48"/>
      <c r="CK189" s="44"/>
      <c r="CL189" s="44"/>
      <c r="CM189" s="44"/>
      <c r="CN189" s="44"/>
      <c r="CO189" s="49"/>
      <c r="CP189" s="44"/>
      <c r="CQ189" s="44"/>
      <c r="CR189" s="44"/>
      <c r="CS189" s="44"/>
      <c r="CT189" s="15"/>
      <c r="CU189" s="16"/>
      <c r="CV189" s="16"/>
      <c r="CW189" s="16"/>
      <c r="CX189" s="15"/>
      <c r="CY189" s="16"/>
      <c r="CZ189" s="29"/>
    </row>
    <row r="190" spans="1:104" ht="15" customHeight="1">
      <c r="A190" s="133"/>
      <c r="B190" s="53"/>
      <c r="C190" s="43"/>
      <c r="D190" s="43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5"/>
      <c r="Z190" s="5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6"/>
      <c r="AR190" s="6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7"/>
      <c r="BF190" s="7"/>
      <c r="BG190" s="44"/>
      <c r="BH190" s="44"/>
      <c r="BI190" s="44"/>
      <c r="BJ190" s="44"/>
      <c r="BK190" s="44"/>
      <c r="BL190" s="44"/>
      <c r="BM190" s="44"/>
      <c r="BN190" s="44"/>
      <c r="BO190" s="8"/>
      <c r="BP190" s="8"/>
      <c r="BQ190" s="44"/>
      <c r="BR190" s="44"/>
      <c r="BS190" s="44"/>
      <c r="BT190" s="44"/>
      <c r="BU190" s="45"/>
      <c r="BV190" s="44"/>
      <c r="BW190" s="44"/>
      <c r="BX190" s="44"/>
      <c r="BY190" s="44"/>
      <c r="BZ190" s="46"/>
      <c r="CA190" s="44"/>
      <c r="CB190" s="44"/>
      <c r="CC190" s="44"/>
      <c r="CD190" s="44"/>
      <c r="CE190" s="47"/>
      <c r="CF190" s="44"/>
      <c r="CG190" s="44"/>
      <c r="CH190" s="44"/>
      <c r="CI190" s="44"/>
      <c r="CJ190" s="48"/>
      <c r="CK190" s="44"/>
      <c r="CL190" s="44"/>
      <c r="CM190" s="44"/>
      <c r="CN190" s="44"/>
      <c r="CO190" s="49"/>
      <c r="CP190" s="44"/>
      <c r="CQ190" s="44"/>
      <c r="CR190" s="44"/>
      <c r="CS190" s="44"/>
      <c r="CT190" s="15"/>
      <c r="CU190" s="16"/>
      <c r="CV190" s="16"/>
      <c r="CW190" s="16"/>
      <c r="CX190" s="15"/>
      <c r="CY190" s="16"/>
      <c r="CZ190" s="29"/>
    </row>
    <row r="191" spans="1:104" ht="15" customHeight="1">
      <c r="A191" s="133"/>
      <c r="B191" s="51"/>
      <c r="C191" s="43"/>
      <c r="D191" s="43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5"/>
      <c r="Z191" s="5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6"/>
      <c r="AR191" s="6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7"/>
      <c r="BF191" s="7"/>
      <c r="BG191" s="44"/>
      <c r="BH191" s="44"/>
      <c r="BI191" s="44"/>
      <c r="BJ191" s="44"/>
      <c r="BK191" s="44"/>
      <c r="BL191" s="44"/>
      <c r="BM191" s="44"/>
      <c r="BN191" s="44"/>
      <c r="BO191" s="8"/>
      <c r="BP191" s="8"/>
      <c r="BQ191" s="44"/>
      <c r="BR191" s="44"/>
      <c r="BS191" s="44"/>
      <c r="BT191" s="44"/>
      <c r="BU191" s="45"/>
      <c r="BV191" s="44"/>
      <c r="BW191" s="44"/>
      <c r="BX191" s="44"/>
      <c r="BY191" s="44"/>
      <c r="BZ191" s="46"/>
      <c r="CA191" s="44"/>
      <c r="CB191" s="44"/>
      <c r="CC191" s="44"/>
      <c r="CD191" s="44"/>
      <c r="CE191" s="47"/>
      <c r="CF191" s="44"/>
      <c r="CG191" s="44"/>
      <c r="CH191" s="44"/>
      <c r="CI191" s="44"/>
      <c r="CJ191" s="48"/>
      <c r="CK191" s="44"/>
      <c r="CL191" s="44"/>
      <c r="CM191" s="44"/>
      <c r="CN191" s="44"/>
      <c r="CO191" s="49"/>
      <c r="CP191" s="44"/>
      <c r="CQ191" s="44"/>
      <c r="CR191" s="44"/>
      <c r="CS191" s="44"/>
      <c r="CT191" s="15"/>
      <c r="CU191" s="16"/>
      <c r="CV191" s="16"/>
      <c r="CW191" s="16"/>
      <c r="CX191" s="15"/>
      <c r="CY191" s="16"/>
      <c r="CZ191" s="29"/>
    </row>
    <row r="192" spans="1:104" ht="15" customHeight="1">
      <c r="A192" s="133"/>
      <c r="B192" s="51"/>
      <c r="C192" s="43"/>
      <c r="D192" s="43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5"/>
      <c r="Z192" s="5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6"/>
      <c r="AR192" s="6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7"/>
      <c r="BF192" s="7"/>
      <c r="BG192" s="44"/>
      <c r="BH192" s="44"/>
      <c r="BI192" s="44"/>
      <c r="BJ192" s="44"/>
      <c r="BK192" s="44"/>
      <c r="BL192" s="44"/>
      <c r="BM192" s="44"/>
      <c r="BN192" s="44"/>
      <c r="BO192" s="8"/>
      <c r="BP192" s="8"/>
      <c r="BQ192" s="44"/>
      <c r="BR192" s="44"/>
      <c r="BS192" s="44"/>
      <c r="BT192" s="44"/>
      <c r="BU192" s="45"/>
      <c r="BV192" s="44"/>
      <c r="BW192" s="44"/>
      <c r="BX192" s="44"/>
      <c r="BY192" s="44"/>
      <c r="BZ192" s="46"/>
      <c r="CA192" s="44"/>
      <c r="CB192" s="44"/>
      <c r="CC192" s="44"/>
      <c r="CD192" s="44"/>
      <c r="CE192" s="47"/>
      <c r="CF192" s="44"/>
      <c r="CG192" s="44"/>
      <c r="CH192" s="44"/>
      <c r="CI192" s="44"/>
      <c r="CJ192" s="48"/>
      <c r="CK192" s="44"/>
      <c r="CL192" s="44"/>
      <c r="CM192" s="44"/>
      <c r="CN192" s="44"/>
      <c r="CO192" s="49"/>
      <c r="CP192" s="44"/>
      <c r="CQ192" s="44"/>
      <c r="CR192" s="44"/>
      <c r="CS192" s="44"/>
      <c r="CT192" s="15"/>
      <c r="CU192" s="16"/>
      <c r="CV192" s="16"/>
      <c r="CW192" s="16"/>
      <c r="CX192" s="15"/>
      <c r="CY192" s="16"/>
      <c r="CZ192" s="29"/>
    </row>
    <row r="193" spans="1:104" ht="15" customHeight="1">
      <c r="A193" s="133"/>
      <c r="B193" s="51"/>
      <c r="C193" s="43"/>
      <c r="D193" s="43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5"/>
      <c r="Z193" s="5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6"/>
      <c r="AR193" s="6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7"/>
      <c r="BF193" s="7"/>
      <c r="BG193" s="44"/>
      <c r="BH193" s="44"/>
      <c r="BI193" s="44"/>
      <c r="BJ193" s="44"/>
      <c r="BK193" s="44"/>
      <c r="BL193" s="44"/>
      <c r="BM193" s="44"/>
      <c r="BN193" s="44"/>
      <c r="BO193" s="8"/>
      <c r="BP193" s="8"/>
      <c r="BQ193" s="44"/>
      <c r="BR193" s="44"/>
      <c r="BS193" s="44"/>
      <c r="BT193" s="44"/>
      <c r="BU193" s="45"/>
      <c r="BV193" s="44"/>
      <c r="BW193" s="44"/>
      <c r="BX193" s="44"/>
      <c r="BY193" s="44"/>
      <c r="BZ193" s="46"/>
      <c r="CA193" s="44"/>
      <c r="CB193" s="44"/>
      <c r="CC193" s="44"/>
      <c r="CD193" s="44"/>
      <c r="CE193" s="47"/>
      <c r="CF193" s="44"/>
      <c r="CG193" s="44"/>
      <c r="CH193" s="44"/>
      <c r="CI193" s="44"/>
      <c r="CJ193" s="48"/>
      <c r="CK193" s="44"/>
      <c r="CL193" s="44"/>
      <c r="CM193" s="44"/>
      <c r="CN193" s="44"/>
      <c r="CO193" s="49"/>
      <c r="CP193" s="44"/>
      <c r="CQ193" s="44"/>
      <c r="CR193" s="44"/>
      <c r="CS193" s="44"/>
      <c r="CT193" s="15"/>
      <c r="CU193" s="16"/>
      <c r="CV193" s="16"/>
      <c r="CW193" s="16"/>
      <c r="CX193" s="15"/>
      <c r="CY193" s="16"/>
      <c r="CZ193" s="29"/>
    </row>
    <row r="194" spans="1:104" ht="15" customHeight="1">
      <c r="A194" s="133"/>
      <c r="B194" s="51"/>
      <c r="C194" s="43"/>
      <c r="D194" s="43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5"/>
      <c r="Z194" s="5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6"/>
      <c r="AR194" s="6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7"/>
      <c r="BF194" s="7"/>
      <c r="BG194" s="44"/>
      <c r="BH194" s="44"/>
      <c r="BI194" s="44"/>
      <c r="BJ194" s="44"/>
      <c r="BK194" s="44"/>
      <c r="BL194" s="44"/>
      <c r="BM194" s="44"/>
      <c r="BN194" s="44"/>
      <c r="BO194" s="8"/>
      <c r="BP194" s="8"/>
      <c r="BQ194" s="44"/>
      <c r="BR194" s="44"/>
      <c r="BS194" s="44"/>
      <c r="BT194" s="44"/>
      <c r="BU194" s="45"/>
      <c r="BV194" s="44"/>
      <c r="BW194" s="44"/>
      <c r="BX194" s="44"/>
      <c r="BY194" s="44"/>
      <c r="BZ194" s="46"/>
      <c r="CA194" s="44"/>
      <c r="CB194" s="44"/>
      <c r="CC194" s="44"/>
      <c r="CD194" s="44"/>
      <c r="CE194" s="47"/>
      <c r="CF194" s="44"/>
      <c r="CG194" s="44"/>
      <c r="CH194" s="44"/>
      <c r="CI194" s="44"/>
      <c r="CJ194" s="48"/>
      <c r="CK194" s="44"/>
      <c r="CL194" s="44"/>
      <c r="CM194" s="44"/>
      <c r="CN194" s="44"/>
      <c r="CO194" s="49"/>
      <c r="CP194" s="44"/>
      <c r="CQ194" s="44"/>
      <c r="CR194" s="44"/>
      <c r="CS194" s="44"/>
      <c r="CT194" s="15"/>
      <c r="CU194" s="16"/>
      <c r="CV194" s="16"/>
      <c r="CW194" s="16"/>
      <c r="CX194" s="15"/>
      <c r="CY194" s="16"/>
      <c r="CZ194" s="29"/>
    </row>
    <row r="195" spans="1:104" ht="15" customHeight="1">
      <c r="A195" s="133"/>
      <c r="B195" s="51"/>
      <c r="C195" s="43"/>
      <c r="D195" s="43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5"/>
      <c r="Z195" s="5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6"/>
      <c r="AR195" s="6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7"/>
      <c r="BF195" s="7"/>
      <c r="BG195" s="44"/>
      <c r="BH195" s="44"/>
      <c r="BI195" s="44"/>
      <c r="BJ195" s="44"/>
      <c r="BK195" s="44"/>
      <c r="BL195" s="44"/>
      <c r="BM195" s="44"/>
      <c r="BN195" s="44"/>
      <c r="BO195" s="8"/>
      <c r="BP195" s="8"/>
      <c r="BQ195" s="44"/>
      <c r="BR195" s="44"/>
      <c r="BS195" s="44"/>
      <c r="BT195" s="44"/>
      <c r="BU195" s="45"/>
      <c r="BV195" s="44"/>
      <c r="BW195" s="44"/>
      <c r="BX195" s="44"/>
      <c r="BY195" s="44"/>
      <c r="BZ195" s="46"/>
      <c r="CA195" s="44"/>
      <c r="CB195" s="44"/>
      <c r="CC195" s="44"/>
      <c r="CD195" s="44"/>
      <c r="CE195" s="47"/>
      <c r="CF195" s="44"/>
      <c r="CG195" s="44"/>
      <c r="CH195" s="44"/>
      <c r="CI195" s="44"/>
      <c r="CJ195" s="48"/>
      <c r="CK195" s="44"/>
      <c r="CL195" s="44"/>
      <c r="CM195" s="44"/>
      <c r="CN195" s="44"/>
      <c r="CO195" s="49"/>
      <c r="CP195" s="44"/>
      <c r="CQ195" s="44"/>
      <c r="CR195" s="44"/>
      <c r="CS195" s="44"/>
      <c r="CT195" s="15"/>
      <c r="CU195" s="16"/>
      <c r="CV195" s="16"/>
      <c r="CW195" s="16"/>
      <c r="CX195" s="15"/>
      <c r="CY195" s="16"/>
      <c r="CZ195" s="29"/>
    </row>
    <row r="196" spans="1:104" ht="15" customHeight="1">
      <c r="A196" s="133"/>
      <c r="B196" s="51"/>
      <c r="C196" s="43"/>
      <c r="D196" s="43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5"/>
      <c r="Z196" s="5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6"/>
      <c r="AR196" s="6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7"/>
      <c r="BF196" s="7"/>
      <c r="BG196" s="44"/>
      <c r="BH196" s="44"/>
      <c r="BI196" s="44"/>
      <c r="BJ196" s="44"/>
      <c r="BK196" s="44"/>
      <c r="BL196" s="44"/>
      <c r="BM196" s="44"/>
      <c r="BN196" s="44"/>
      <c r="BO196" s="8"/>
      <c r="BP196" s="8"/>
      <c r="BQ196" s="44"/>
      <c r="BR196" s="44"/>
      <c r="BS196" s="44"/>
      <c r="BT196" s="44"/>
      <c r="BU196" s="45"/>
      <c r="BV196" s="44"/>
      <c r="BW196" s="44"/>
      <c r="BX196" s="44"/>
      <c r="BY196" s="44"/>
      <c r="BZ196" s="46"/>
      <c r="CA196" s="44"/>
      <c r="CB196" s="44"/>
      <c r="CC196" s="44"/>
      <c r="CD196" s="44"/>
      <c r="CE196" s="47"/>
      <c r="CF196" s="44"/>
      <c r="CG196" s="44"/>
      <c r="CH196" s="44"/>
      <c r="CI196" s="44"/>
      <c r="CJ196" s="48"/>
      <c r="CK196" s="44"/>
      <c r="CL196" s="44"/>
      <c r="CM196" s="44"/>
      <c r="CN196" s="44"/>
      <c r="CO196" s="49"/>
      <c r="CP196" s="44"/>
      <c r="CQ196" s="44"/>
      <c r="CR196" s="44"/>
      <c r="CS196" s="44"/>
      <c r="CT196" s="15"/>
      <c r="CU196" s="16"/>
      <c r="CV196" s="16"/>
      <c r="CW196" s="16"/>
      <c r="CX196" s="15"/>
      <c r="CY196" s="16"/>
      <c r="CZ196" s="29"/>
    </row>
    <row r="197" spans="1:104" ht="15" customHeight="1">
      <c r="A197" s="133"/>
      <c r="B197" s="51"/>
      <c r="C197" s="43"/>
      <c r="D197" s="43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5"/>
      <c r="Z197" s="5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6"/>
      <c r="AR197" s="6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7"/>
      <c r="BF197" s="7"/>
      <c r="BG197" s="44"/>
      <c r="BH197" s="44"/>
      <c r="BI197" s="44"/>
      <c r="BJ197" s="44"/>
      <c r="BK197" s="44"/>
      <c r="BL197" s="44"/>
      <c r="BM197" s="44"/>
      <c r="BN197" s="44"/>
      <c r="BO197" s="8"/>
      <c r="BP197" s="8"/>
      <c r="BQ197" s="44"/>
      <c r="BR197" s="44"/>
      <c r="BS197" s="44"/>
      <c r="BT197" s="44"/>
      <c r="BU197" s="45"/>
      <c r="BV197" s="44"/>
      <c r="BW197" s="44"/>
      <c r="BX197" s="44"/>
      <c r="BY197" s="44"/>
      <c r="BZ197" s="46"/>
      <c r="CA197" s="44"/>
      <c r="CB197" s="44"/>
      <c r="CC197" s="44"/>
      <c r="CD197" s="44"/>
      <c r="CE197" s="47"/>
      <c r="CF197" s="44"/>
      <c r="CG197" s="44"/>
      <c r="CH197" s="44"/>
      <c r="CI197" s="44"/>
      <c r="CJ197" s="48"/>
      <c r="CK197" s="44"/>
      <c r="CL197" s="44"/>
      <c r="CM197" s="44"/>
      <c r="CN197" s="44"/>
      <c r="CO197" s="49"/>
      <c r="CP197" s="44"/>
      <c r="CQ197" s="44"/>
      <c r="CR197" s="44"/>
      <c r="CS197" s="44"/>
      <c r="CT197" s="15"/>
      <c r="CU197" s="16"/>
      <c r="CV197" s="16"/>
      <c r="CW197" s="16"/>
      <c r="CX197" s="15"/>
      <c r="CY197" s="16"/>
      <c r="CZ197" s="29"/>
    </row>
    <row r="198" spans="1:104" ht="15" customHeight="1">
      <c r="A198" s="133"/>
      <c r="B198" s="51"/>
      <c r="C198" s="43"/>
      <c r="D198" s="43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5"/>
      <c r="Z198" s="5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6"/>
      <c r="AR198" s="6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7"/>
      <c r="BF198" s="7"/>
      <c r="BG198" s="44"/>
      <c r="BH198" s="44"/>
      <c r="BI198" s="44"/>
      <c r="BJ198" s="44"/>
      <c r="BK198" s="44"/>
      <c r="BL198" s="44"/>
      <c r="BM198" s="44"/>
      <c r="BN198" s="44"/>
      <c r="BO198" s="8"/>
      <c r="BP198" s="8"/>
      <c r="BQ198" s="44"/>
      <c r="BR198" s="44"/>
      <c r="BS198" s="44"/>
      <c r="BT198" s="44"/>
      <c r="BU198" s="45"/>
      <c r="BV198" s="44"/>
      <c r="BW198" s="44"/>
      <c r="BX198" s="44"/>
      <c r="BY198" s="44"/>
      <c r="BZ198" s="46"/>
      <c r="CA198" s="44"/>
      <c r="CB198" s="44"/>
      <c r="CC198" s="44"/>
      <c r="CD198" s="44"/>
      <c r="CE198" s="47"/>
      <c r="CF198" s="44"/>
      <c r="CG198" s="44"/>
      <c r="CH198" s="44"/>
      <c r="CI198" s="44"/>
      <c r="CJ198" s="48"/>
      <c r="CK198" s="44"/>
      <c r="CL198" s="44"/>
      <c r="CM198" s="44"/>
      <c r="CN198" s="44"/>
      <c r="CO198" s="49"/>
      <c r="CP198" s="44"/>
      <c r="CQ198" s="44"/>
      <c r="CR198" s="44"/>
      <c r="CS198" s="44"/>
      <c r="CT198" s="15"/>
      <c r="CU198" s="16"/>
      <c r="CV198" s="16"/>
      <c r="CW198" s="16"/>
      <c r="CX198" s="15"/>
      <c r="CY198" s="16"/>
      <c r="CZ198" s="29"/>
    </row>
    <row r="199" spans="1:104" ht="15" customHeight="1">
      <c r="A199" s="133"/>
      <c r="B199" s="51"/>
      <c r="C199" s="43"/>
      <c r="D199" s="43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5"/>
      <c r="Z199" s="5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6"/>
      <c r="AR199" s="6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7"/>
      <c r="BF199" s="7"/>
      <c r="BG199" s="44"/>
      <c r="BH199" s="44"/>
      <c r="BI199" s="44"/>
      <c r="BJ199" s="44"/>
      <c r="BK199" s="44"/>
      <c r="BL199" s="44"/>
      <c r="BM199" s="44"/>
      <c r="BN199" s="44"/>
      <c r="BO199" s="8"/>
      <c r="BP199" s="8"/>
      <c r="BQ199" s="44"/>
      <c r="BR199" s="44"/>
      <c r="BS199" s="44"/>
      <c r="BT199" s="44"/>
      <c r="BU199" s="45"/>
      <c r="BV199" s="44"/>
      <c r="BW199" s="44"/>
      <c r="BX199" s="44"/>
      <c r="BY199" s="44"/>
      <c r="BZ199" s="46"/>
      <c r="CA199" s="44"/>
      <c r="CB199" s="44"/>
      <c r="CC199" s="44"/>
      <c r="CD199" s="44"/>
      <c r="CE199" s="47"/>
      <c r="CF199" s="44"/>
      <c r="CG199" s="44"/>
      <c r="CH199" s="44"/>
      <c r="CI199" s="44"/>
      <c r="CJ199" s="48"/>
      <c r="CK199" s="44"/>
      <c r="CL199" s="44"/>
      <c r="CM199" s="44"/>
      <c r="CN199" s="44"/>
      <c r="CO199" s="49"/>
      <c r="CP199" s="44"/>
      <c r="CQ199" s="44"/>
      <c r="CR199" s="44"/>
      <c r="CS199" s="44"/>
      <c r="CT199" s="15"/>
      <c r="CU199" s="16"/>
      <c r="CV199" s="16"/>
      <c r="CW199" s="16"/>
      <c r="CX199" s="15"/>
      <c r="CY199" s="16"/>
      <c r="CZ199" s="29"/>
    </row>
    <row r="200" spans="1:104" ht="15" customHeight="1">
      <c r="A200" s="133"/>
      <c r="B200" s="51"/>
      <c r="C200" s="43"/>
      <c r="D200" s="43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5"/>
      <c r="Z200" s="5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6"/>
      <c r="AR200" s="6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7"/>
      <c r="BF200" s="7"/>
      <c r="BG200" s="44"/>
      <c r="BH200" s="44"/>
      <c r="BI200" s="44"/>
      <c r="BJ200" s="44"/>
      <c r="BK200" s="44"/>
      <c r="BL200" s="44"/>
      <c r="BM200" s="44"/>
      <c r="BN200" s="44"/>
      <c r="BO200" s="8"/>
      <c r="BP200" s="8"/>
      <c r="BQ200" s="44"/>
      <c r="BR200" s="44"/>
      <c r="BS200" s="44"/>
      <c r="BT200" s="44"/>
      <c r="BU200" s="45"/>
      <c r="BV200" s="44"/>
      <c r="BW200" s="44"/>
      <c r="BX200" s="44"/>
      <c r="BY200" s="44"/>
      <c r="BZ200" s="46"/>
      <c r="CA200" s="44"/>
      <c r="CB200" s="44"/>
      <c r="CC200" s="44"/>
      <c r="CD200" s="44"/>
      <c r="CE200" s="47"/>
      <c r="CF200" s="44"/>
      <c r="CG200" s="44"/>
      <c r="CH200" s="44"/>
      <c r="CI200" s="44"/>
      <c r="CJ200" s="48"/>
      <c r="CK200" s="44"/>
      <c r="CL200" s="44"/>
      <c r="CM200" s="44"/>
      <c r="CN200" s="44"/>
      <c r="CO200" s="49"/>
      <c r="CP200" s="44"/>
      <c r="CQ200" s="44"/>
      <c r="CR200" s="44"/>
      <c r="CS200" s="44"/>
      <c r="CT200" s="15"/>
      <c r="CU200" s="16"/>
      <c r="CV200" s="16"/>
      <c r="CW200" s="16"/>
      <c r="CX200" s="15"/>
      <c r="CY200" s="16"/>
      <c r="CZ200" s="29"/>
    </row>
    <row r="201" spans="1:104" ht="15" customHeight="1">
      <c r="A201" s="133"/>
      <c r="B201" s="51"/>
      <c r="C201" s="43"/>
      <c r="D201" s="43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5"/>
      <c r="Z201" s="5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6"/>
      <c r="AR201" s="6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7"/>
      <c r="BF201" s="7"/>
      <c r="BG201" s="44"/>
      <c r="BH201" s="44"/>
      <c r="BI201" s="44"/>
      <c r="BJ201" s="44"/>
      <c r="BK201" s="44"/>
      <c r="BL201" s="44"/>
      <c r="BM201" s="44"/>
      <c r="BN201" s="44"/>
      <c r="BO201" s="8"/>
      <c r="BP201" s="8"/>
      <c r="BQ201" s="44"/>
      <c r="BR201" s="44"/>
      <c r="BS201" s="44"/>
      <c r="BT201" s="44"/>
      <c r="BU201" s="45"/>
      <c r="BV201" s="44"/>
      <c r="BW201" s="44"/>
      <c r="BX201" s="44"/>
      <c r="BY201" s="44"/>
      <c r="BZ201" s="46"/>
      <c r="CA201" s="44"/>
      <c r="CB201" s="44"/>
      <c r="CC201" s="44"/>
      <c r="CD201" s="44"/>
      <c r="CE201" s="47"/>
      <c r="CF201" s="44"/>
      <c r="CG201" s="44"/>
      <c r="CH201" s="44"/>
      <c r="CI201" s="44"/>
      <c r="CJ201" s="48"/>
      <c r="CK201" s="44"/>
      <c r="CL201" s="44"/>
      <c r="CM201" s="44"/>
      <c r="CN201" s="44"/>
      <c r="CO201" s="49"/>
      <c r="CP201" s="44"/>
      <c r="CQ201" s="44"/>
      <c r="CR201" s="44"/>
      <c r="CS201" s="44"/>
      <c r="CT201" s="15"/>
      <c r="CU201" s="16"/>
      <c r="CV201" s="16"/>
      <c r="CW201" s="16"/>
      <c r="CX201" s="15"/>
      <c r="CY201" s="16"/>
      <c r="CZ201" s="29"/>
    </row>
    <row r="202" spans="1:104" ht="15" customHeight="1">
      <c r="A202" s="133"/>
      <c r="B202" s="51"/>
      <c r="C202" s="43"/>
      <c r="D202" s="43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5"/>
      <c r="Z202" s="5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6"/>
      <c r="AR202" s="6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7"/>
      <c r="BF202" s="7"/>
      <c r="BG202" s="44"/>
      <c r="BH202" s="44"/>
      <c r="BI202" s="44"/>
      <c r="BJ202" s="44"/>
      <c r="BK202" s="44"/>
      <c r="BL202" s="44"/>
      <c r="BM202" s="44"/>
      <c r="BN202" s="44"/>
      <c r="BO202" s="8"/>
      <c r="BP202" s="8"/>
      <c r="BQ202" s="44"/>
      <c r="BR202" s="44"/>
      <c r="BS202" s="44"/>
      <c r="BT202" s="44"/>
      <c r="BU202" s="45"/>
      <c r="BV202" s="44"/>
      <c r="BW202" s="44"/>
      <c r="BX202" s="44"/>
      <c r="BY202" s="44"/>
      <c r="BZ202" s="46"/>
      <c r="CA202" s="44"/>
      <c r="CB202" s="44"/>
      <c r="CC202" s="44"/>
      <c r="CD202" s="44"/>
      <c r="CE202" s="47"/>
      <c r="CF202" s="44"/>
      <c r="CG202" s="44"/>
      <c r="CH202" s="44"/>
      <c r="CI202" s="44"/>
      <c r="CJ202" s="48"/>
      <c r="CK202" s="44"/>
      <c r="CL202" s="44"/>
      <c r="CM202" s="44"/>
      <c r="CN202" s="44"/>
      <c r="CO202" s="49"/>
      <c r="CP202" s="44"/>
      <c r="CQ202" s="44"/>
      <c r="CR202" s="44"/>
      <c r="CS202" s="44"/>
      <c r="CT202" s="15"/>
      <c r="CU202" s="16"/>
      <c r="CV202" s="16"/>
      <c r="CW202" s="16"/>
      <c r="CX202" s="15"/>
      <c r="CY202" s="16"/>
      <c r="CZ202" s="29"/>
    </row>
    <row r="203" spans="1:104" ht="15" customHeight="1">
      <c r="A203" s="133"/>
      <c r="B203" s="51"/>
      <c r="C203" s="43"/>
      <c r="D203" s="43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5"/>
      <c r="Z203" s="5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6"/>
      <c r="AR203" s="6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7"/>
      <c r="BF203" s="7"/>
      <c r="BG203" s="44"/>
      <c r="BH203" s="44"/>
      <c r="BI203" s="44"/>
      <c r="BJ203" s="44"/>
      <c r="BK203" s="44"/>
      <c r="BL203" s="44"/>
      <c r="BM203" s="44"/>
      <c r="BN203" s="44"/>
      <c r="BO203" s="8"/>
      <c r="BP203" s="8"/>
      <c r="BQ203" s="44"/>
      <c r="BR203" s="44"/>
      <c r="BS203" s="44"/>
      <c r="BT203" s="44"/>
      <c r="BU203" s="45"/>
      <c r="BV203" s="44"/>
      <c r="BW203" s="44"/>
      <c r="BX203" s="44"/>
      <c r="BY203" s="44"/>
      <c r="BZ203" s="46"/>
      <c r="CA203" s="44"/>
      <c r="CB203" s="44"/>
      <c r="CC203" s="44"/>
      <c r="CD203" s="44"/>
      <c r="CE203" s="47"/>
      <c r="CF203" s="44"/>
      <c r="CG203" s="44"/>
      <c r="CH203" s="44"/>
      <c r="CI203" s="44"/>
      <c r="CJ203" s="48"/>
      <c r="CK203" s="44"/>
      <c r="CL203" s="44"/>
      <c r="CM203" s="44"/>
      <c r="CN203" s="44"/>
      <c r="CO203" s="49"/>
      <c r="CP203" s="44"/>
      <c r="CQ203" s="44"/>
      <c r="CR203" s="44"/>
      <c r="CS203" s="44"/>
      <c r="CT203" s="15"/>
      <c r="CU203" s="16"/>
      <c r="CV203" s="16"/>
      <c r="CW203" s="16"/>
      <c r="CX203" s="15"/>
      <c r="CY203" s="16"/>
      <c r="CZ203" s="29"/>
    </row>
    <row r="204" spans="1:104" ht="15" customHeight="1">
      <c r="A204" s="133"/>
      <c r="B204" s="51"/>
      <c r="C204" s="43"/>
      <c r="D204" s="43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5"/>
      <c r="Z204" s="5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6"/>
      <c r="AR204" s="6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7"/>
      <c r="BF204" s="7"/>
      <c r="BG204" s="44"/>
      <c r="BH204" s="44"/>
      <c r="BI204" s="44"/>
      <c r="BJ204" s="44"/>
      <c r="BK204" s="44"/>
      <c r="BL204" s="44"/>
      <c r="BM204" s="44"/>
      <c r="BN204" s="44"/>
      <c r="BO204" s="8"/>
      <c r="BP204" s="8"/>
      <c r="BQ204" s="44"/>
      <c r="BR204" s="44"/>
      <c r="BS204" s="44"/>
      <c r="BT204" s="44"/>
      <c r="BU204" s="45"/>
      <c r="BV204" s="44"/>
      <c r="BW204" s="44"/>
      <c r="BX204" s="44"/>
      <c r="BY204" s="44"/>
      <c r="BZ204" s="46"/>
      <c r="CA204" s="44"/>
      <c r="CB204" s="44"/>
      <c r="CC204" s="44"/>
      <c r="CD204" s="44"/>
      <c r="CE204" s="47"/>
      <c r="CF204" s="44"/>
      <c r="CG204" s="44"/>
      <c r="CH204" s="44"/>
      <c r="CI204" s="44"/>
      <c r="CJ204" s="48"/>
      <c r="CK204" s="44"/>
      <c r="CL204" s="44"/>
      <c r="CM204" s="44"/>
      <c r="CN204" s="44"/>
      <c r="CO204" s="49"/>
      <c r="CP204" s="44"/>
      <c r="CQ204" s="44"/>
      <c r="CR204" s="44"/>
      <c r="CS204" s="44"/>
      <c r="CT204" s="15"/>
      <c r="CU204" s="16"/>
      <c r="CV204" s="16"/>
      <c r="CW204" s="16"/>
      <c r="CX204" s="15"/>
      <c r="CY204" s="16"/>
      <c r="CZ204" s="29"/>
    </row>
    <row r="205" spans="1:104" ht="15" customHeight="1">
      <c r="A205" s="133"/>
      <c r="B205" s="51"/>
      <c r="C205" s="43"/>
      <c r="D205" s="43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5"/>
      <c r="Z205" s="5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6"/>
      <c r="AR205" s="6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7"/>
      <c r="BF205" s="7"/>
      <c r="BG205" s="44"/>
      <c r="BH205" s="44"/>
      <c r="BI205" s="44"/>
      <c r="BJ205" s="44"/>
      <c r="BK205" s="44"/>
      <c r="BL205" s="44"/>
      <c r="BM205" s="44"/>
      <c r="BN205" s="44"/>
      <c r="BO205" s="8"/>
      <c r="BP205" s="8"/>
      <c r="BQ205" s="44"/>
      <c r="BR205" s="44"/>
      <c r="BS205" s="44"/>
      <c r="BT205" s="44"/>
      <c r="BU205" s="45"/>
      <c r="BV205" s="44"/>
      <c r="BW205" s="44"/>
      <c r="BX205" s="44"/>
      <c r="BY205" s="44"/>
      <c r="BZ205" s="46"/>
      <c r="CA205" s="44"/>
      <c r="CB205" s="44"/>
      <c r="CC205" s="44"/>
      <c r="CD205" s="44"/>
      <c r="CE205" s="47"/>
      <c r="CF205" s="44"/>
      <c r="CG205" s="44"/>
      <c r="CH205" s="44"/>
      <c r="CI205" s="44"/>
      <c r="CJ205" s="48"/>
      <c r="CK205" s="44"/>
      <c r="CL205" s="44"/>
      <c r="CM205" s="44"/>
      <c r="CN205" s="44"/>
      <c r="CO205" s="49"/>
      <c r="CP205" s="44"/>
      <c r="CQ205" s="44"/>
      <c r="CR205" s="44"/>
      <c r="CS205" s="44"/>
      <c r="CT205" s="15"/>
      <c r="CU205" s="16"/>
      <c r="CV205" s="16"/>
      <c r="CW205" s="16"/>
      <c r="CX205" s="15"/>
      <c r="CY205" s="16"/>
      <c r="CZ205" s="29"/>
    </row>
    <row r="206" spans="1:104" ht="15" customHeight="1">
      <c r="A206" s="133"/>
      <c r="B206" s="51"/>
      <c r="C206" s="43"/>
      <c r="D206" s="43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5"/>
      <c r="Z206" s="5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6"/>
      <c r="AR206" s="6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7"/>
      <c r="BF206" s="7"/>
      <c r="BG206" s="44"/>
      <c r="BH206" s="44"/>
      <c r="BI206" s="44"/>
      <c r="BJ206" s="44"/>
      <c r="BK206" s="44"/>
      <c r="BL206" s="44"/>
      <c r="BM206" s="44"/>
      <c r="BN206" s="44"/>
      <c r="BO206" s="8"/>
      <c r="BP206" s="8"/>
      <c r="BQ206" s="44"/>
      <c r="BR206" s="44"/>
      <c r="BS206" s="44"/>
      <c r="BT206" s="44"/>
      <c r="BU206" s="45"/>
      <c r="BV206" s="44"/>
      <c r="BW206" s="44"/>
      <c r="BX206" s="44"/>
      <c r="BY206" s="44"/>
      <c r="BZ206" s="46"/>
      <c r="CA206" s="44"/>
      <c r="CB206" s="44"/>
      <c r="CC206" s="44"/>
      <c r="CD206" s="44"/>
      <c r="CE206" s="47"/>
      <c r="CF206" s="44"/>
      <c r="CG206" s="44"/>
      <c r="CH206" s="44"/>
      <c r="CI206" s="44"/>
      <c r="CJ206" s="48"/>
      <c r="CK206" s="44"/>
      <c r="CL206" s="44"/>
      <c r="CM206" s="44"/>
      <c r="CN206" s="44"/>
      <c r="CO206" s="49"/>
      <c r="CP206" s="44"/>
      <c r="CQ206" s="44"/>
      <c r="CR206" s="44"/>
      <c r="CS206" s="44"/>
      <c r="CT206" s="15"/>
      <c r="CU206" s="16"/>
      <c r="CV206" s="16"/>
      <c r="CW206" s="16"/>
      <c r="CX206" s="15"/>
      <c r="CY206" s="16"/>
      <c r="CZ206" s="29"/>
    </row>
    <row r="207" spans="1:104" ht="15" customHeight="1">
      <c r="A207" s="133"/>
      <c r="B207" s="52"/>
      <c r="C207" s="43"/>
      <c r="D207" s="43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5"/>
      <c r="Z207" s="5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6"/>
      <c r="AR207" s="6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7"/>
      <c r="BF207" s="7"/>
      <c r="BG207" s="44"/>
      <c r="BH207" s="44"/>
      <c r="BI207" s="44"/>
      <c r="BJ207" s="44"/>
      <c r="BK207" s="44"/>
      <c r="BL207" s="44"/>
      <c r="BM207" s="44"/>
      <c r="BN207" s="44"/>
      <c r="BO207" s="8"/>
      <c r="BP207" s="8"/>
      <c r="BQ207" s="44"/>
      <c r="BR207" s="44"/>
      <c r="BS207" s="44"/>
      <c r="BT207" s="44"/>
      <c r="BU207" s="45"/>
      <c r="BV207" s="44"/>
      <c r="BW207" s="44"/>
      <c r="BX207" s="44"/>
      <c r="BY207" s="44"/>
      <c r="BZ207" s="46"/>
      <c r="CA207" s="44"/>
      <c r="CB207" s="44"/>
      <c r="CC207" s="44"/>
      <c r="CD207" s="44"/>
      <c r="CE207" s="47"/>
      <c r="CF207" s="44"/>
      <c r="CG207" s="44"/>
      <c r="CH207" s="44"/>
      <c r="CI207" s="44"/>
      <c r="CJ207" s="48"/>
      <c r="CK207" s="44"/>
      <c r="CL207" s="44"/>
      <c r="CM207" s="44"/>
      <c r="CN207" s="44"/>
      <c r="CO207" s="49"/>
      <c r="CP207" s="44"/>
      <c r="CQ207" s="44"/>
      <c r="CR207" s="44"/>
      <c r="CS207" s="44"/>
      <c r="CT207" s="15"/>
      <c r="CU207" s="16"/>
      <c r="CV207" s="16"/>
      <c r="CW207" s="16"/>
      <c r="CX207" s="15"/>
      <c r="CY207" s="16"/>
      <c r="CZ207" s="29"/>
    </row>
    <row r="208" spans="1:104" ht="15" customHeight="1">
      <c r="A208" s="172"/>
      <c r="B208" s="163"/>
      <c r="C208" s="164"/>
      <c r="D208" s="164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37"/>
      <c r="Z208" s="137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38"/>
      <c r="AR208" s="138"/>
      <c r="AS208" s="165"/>
      <c r="AT208" s="165"/>
      <c r="AU208" s="165"/>
      <c r="AV208" s="165"/>
      <c r="AW208" s="165"/>
      <c r="AX208" s="165"/>
      <c r="AY208" s="165"/>
      <c r="AZ208" s="165"/>
      <c r="BA208" s="165"/>
      <c r="BB208" s="165"/>
      <c r="BC208" s="165"/>
      <c r="BD208" s="165"/>
      <c r="BE208" s="139"/>
      <c r="BF208" s="139"/>
      <c r="BG208" s="165"/>
      <c r="BH208" s="165"/>
      <c r="BI208" s="165"/>
      <c r="BJ208" s="165"/>
      <c r="BK208" s="165"/>
      <c r="BL208" s="165"/>
      <c r="BM208" s="165"/>
      <c r="BN208" s="165"/>
      <c r="BO208" s="140"/>
      <c r="BP208" s="140"/>
      <c r="BQ208" s="165"/>
      <c r="BR208" s="165"/>
      <c r="BS208" s="165"/>
      <c r="BT208" s="165"/>
      <c r="BU208" s="166"/>
      <c r="BV208" s="165"/>
      <c r="BW208" s="165"/>
      <c r="BX208" s="165"/>
      <c r="BY208" s="165"/>
      <c r="BZ208" s="167"/>
      <c r="CA208" s="165"/>
      <c r="CB208" s="165"/>
      <c r="CC208" s="165"/>
      <c r="CD208" s="165"/>
      <c r="CE208" s="168"/>
      <c r="CF208" s="165"/>
      <c r="CG208" s="165"/>
      <c r="CH208" s="165"/>
      <c r="CI208" s="165"/>
      <c r="CJ208" s="169"/>
      <c r="CK208" s="165"/>
      <c r="CL208" s="165"/>
      <c r="CM208" s="165"/>
      <c r="CN208" s="165"/>
      <c r="CO208" s="170"/>
      <c r="CP208" s="165"/>
      <c r="CQ208" s="165"/>
      <c r="CR208" s="165"/>
      <c r="CS208" s="165"/>
      <c r="CT208" s="141"/>
      <c r="CU208" s="142"/>
      <c r="CV208" s="142"/>
      <c r="CW208" s="142"/>
      <c r="CX208" s="141"/>
      <c r="CY208" s="142"/>
      <c r="CZ208" s="171"/>
    </row>
    <row r="209" spans="1:104" s="29" customFormat="1" ht="15" customHeight="1">
      <c r="A209" s="133"/>
      <c r="B209" s="51"/>
      <c r="C209" s="43"/>
      <c r="D209" s="43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157"/>
      <c r="Z209" s="157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158"/>
      <c r="AR209" s="158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159"/>
      <c r="BF209" s="159"/>
      <c r="BG209" s="44"/>
      <c r="BH209" s="44"/>
      <c r="BI209" s="44"/>
      <c r="BJ209" s="44"/>
      <c r="BK209" s="44"/>
      <c r="BL209" s="44"/>
      <c r="BM209" s="44"/>
      <c r="BN209" s="44"/>
      <c r="BO209" s="160"/>
      <c r="BP209" s="160"/>
      <c r="BQ209" s="44"/>
      <c r="BR209" s="44"/>
      <c r="BS209" s="44"/>
      <c r="BT209" s="44"/>
      <c r="BU209" s="45"/>
      <c r="BV209" s="44"/>
      <c r="BW209" s="44"/>
      <c r="BX209" s="44"/>
      <c r="BY209" s="44"/>
      <c r="BZ209" s="46"/>
      <c r="CA209" s="44"/>
      <c r="CB209" s="44"/>
      <c r="CC209" s="44"/>
      <c r="CD209" s="44"/>
      <c r="CE209" s="47"/>
      <c r="CF209" s="44"/>
      <c r="CG209" s="44"/>
      <c r="CH209" s="44"/>
      <c r="CI209" s="44"/>
      <c r="CJ209" s="48"/>
      <c r="CK209" s="44"/>
      <c r="CL209" s="44"/>
      <c r="CM209" s="44"/>
      <c r="CN209" s="44"/>
      <c r="CO209" s="49"/>
      <c r="CP209" s="44"/>
      <c r="CQ209" s="44"/>
      <c r="CR209" s="44"/>
      <c r="CS209" s="44"/>
      <c r="CT209" s="161"/>
      <c r="CU209" s="162"/>
      <c r="CV209" s="162"/>
      <c r="CW209" s="162"/>
      <c r="CX209" s="161"/>
      <c r="CY209" s="162"/>
    </row>
    <row r="210" spans="1:104" ht="15" customHeight="1">
      <c r="A210" s="173"/>
      <c r="B210" s="54"/>
      <c r="C210" s="143"/>
      <c r="D210" s="143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5"/>
      <c r="Z210" s="145"/>
      <c r="AA210" s="144"/>
      <c r="AB210" s="144"/>
      <c r="AC210" s="144"/>
      <c r="AD210" s="144"/>
      <c r="AE210" s="144"/>
      <c r="AF210" s="144"/>
      <c r="AG210" s="144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6"/>
      <c r="AR210" s="146"/>
      <c r="AS210" s="144"/>
      <c r="AT210" s="144"/>
      <c r="AU210" s="144"/>
      <c r="AV210" s="144"/>
      <c r="AW210" s="144"/>
      <c r="AX210" s="144"/>
      <c r="AY210" s="144"/>
      <c r="AZ210" s="144"/>
      <c r="BA210" s="144"/>
      <c r="BB210" s="144"/>
      <c r="BC210" s="144"/>
      <c r="BD210" s="144"/>
      <c r="BE210" s="147"/>
      <c r="BF210" s="147"/>
      <c r="BG210" s="144"/>
      <c r="BH210" s="144"/>
      <c r="BI210" s="144"/>
      <c r="BJ210" s="144"/>
      <c r="BK210" s="144"/>
      <c r="BL210" s="144"/>
      <c r="BM210" s="144"/>
      <c r="BN210" s="144"/>
      <c r="BO210" s="148"/>
      <c r="BP210" s="148"/>
      <c r="BQ210" s="144"/>
      <c r="BR210" s="144"/>
      <c r="BS210" s="144"/>
      <c r="BT210" s="144"/>
      <c r="BU210" s="149"/>
      <c r="BV210" s="144"/>
      <c r="BW210" s="144"/>
      <c r="BX210" s="144"/>
      <c r="BY210" s="144"/>
      <c r="BZ210" s="150"/>
      <c r="CA210" s="144"/>
      <c r="CB210" s="144"/>
      <c r="CC210" s="144"/>
      <c r="CD210" s="144"/>
      <c r="CE210" s="151"/>
      <c r="CF210" s="144"/>
      <c r="CG210" s="144"/>
      <c r="CH210" s="144"/>
      <c r="CI210" s="144"/>
      <c r="CJ210" s="152"/>
      <c r="CK210" s="144"/>
      <c r="CL210" s="144"/>
      <c r="CM210" s="144"/>
      <c r="CN210" s="144"/>
      <c r="CO210" s="153"/>
      <c r="CP210" s="144"/>
      <c r="CQ210" s="144"/>
      <c r="CR210" s="144"/>
      <c r="CS210" s="144"/>
      <c r="CT210" s="154"/>
      <c r="CU210" s="155"/>
      <c r="CV210" s="155"/>
      <c r="CW210" s="155"/>
      <c r="CX210" s="154"/>
      <c r="CY210" s="155"/>
      <c r="CZ210" s="156"/>
    </row>
    <row r="211" spans="1:104" ht="15" customHeight="1">
      <c r="A211" s="133"/>
      <c r="B211" s="51"/>
      <c r="C211" s="43"/>
      <c r="D211" s="43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5"/>
      <c r="Z211" s="5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6"/>
      <c r="AR211" s="6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7"/>
      <c r="BF211" s="7"/>
      <c r="BG211" s="44"/>
      <c r="BH211" s="44"/>
      <c r="BI211" s="44"/>
      <c r="BJ211" s="44"/>
      <c r="BK211" s="44"/>
      <c r="BL211" s="44"/>
      <c r="BM211" s="44"/>
      <c r="BN211" s="44"/>
      <c r="BO211" s="8"/>
      <c r="BP211" s="8"/>
      <c r="BQ211" s="44"/>
      <c r="BR211" s="44"/>
      <c r="BS211" s="44"/>
      <c r="BT211" s="44"/>
      <c r="BU211" s="45"/>
      <c r="BV211" s="44"/>
      <c r="BW211" s="44"/>
      <c r="BX211" s="44"/>
      <c r="BY211" s="44"/>
      <c r="BZ211" s="46"/>
      <c r="CA211" s="44"/>
      <c r="CB211" s="44"/>
      <c r="CC211" s="44"/>
      <c r="CD211" s="44"/>
      <c r="CE211" s="47"/>
      <c r="CF211" s="44"/>
      <c r="CG211" s="44"/>
      <c r="CH211" s="44"/>
      <c r="CI211" s="44"/>
      <c r="CJ211" s="48"/>
      <c r="CK211" s="44"/>
      <c r="CL211" s="44"/>
      <c r="CM211" s="44"/>
      <c r="CN211" s="44"/>
      <c r="CO211" s="49"/>
      <c r="CP211" s="44"/>
      <c r="CQ211" s="44"/>
      <c r="CR211" s="44"/>
      <c r="CS211" s="44"/>
      <c r="CT211" s="15"/>
      <c r="CU211" s="16"/>
      <c r="CV211" s="16"/>
      <c r="CW211" s="16"/>
      <c r="CX211" s="15"/>
      <c r="CY211" s="16"/>
      <c r="CZ211" s="29"/>
    </row>
    <row r="212" spans="1:104" ht="15" customHeight="1">
      <c r="A212" s="133"/>
      <c r="B212" s="51"/>
      <c r="C212" s="43"/>
      <c r="D212" s="43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5"/>
      <c r="Z212" s="5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6"/>
      <c r="AR212" s="6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7"/>
      <c r="BF212" s="7"/>
      <c r="BG212" s="44"/>
      <c r="BH212" s="44"/>
      <c r="BI212" s="44"/>
      <c r="BJ212" s="44"/>
      <c r="BK212" s="44"/>
      <c r="BL212" s="44"/>
      <c r="BM212" s="44"/>
      <c r="BN212" s="44"/>
      <c r="BO212" s="8"/>
      <c r="BP212" s="8"/>
      <c r="BQ212" s="44"/>
      <c r="BR212" s="44"/>
      <c r="BS212" s="44"/>
      <c r="BT212" s="44"/>
      <c r="BU212" s="45"/>
      <c r="BV212" s="44"/>
      <c r="BW212" s="44"/>
      <c r="BX212" s="44"/>
      <c r="BY212" s="44"/>
      <c r="BZ212" s="46"/>
      <c r="CA212" s="44"/>
      <c r="CB212" s="44"/>
      <c r="CC212" s="44"/>
      <c r="CD212" s="44"/>
      <c r="CE212" s="47"/>
      <c r="CF212" s="44"/>
      <c r="CG212" s="44"/>
      <c r="CH212" s="44"/>
      <c r="CI212" s="44"/>
      <c r="CJ212" s="48"/>
      <c r="CK212" s="44"/>
      <c r="CL212" s="44"/>
      <c r="CM212" s="44"/>
      <c r="CN212" s="44"/>
      <c r="CO212" s="49"/>
      <c r="CP212" s="44"/>
      <c r="CQ212" s="44"/>
      <c r="CR212" s="44"/>
      <c r="CS212" s="44"/>
      <c r="CT212" s="15"/>
      <c r="CU212" s="16"/>
      <c r="CV212" s="16"/>
      <c r="CW212" s="16"/>
      <c r="CX212" s="15"/>
      <c r="CY212" s="16"/>
      <c r="CZ212" s="29"/>
    </row>
    <row r="213" spans="1:104" ht="14.25" customHeight="1">
      <c r="A213" s="133"/>
      <c r="B213" s="51"/>
      <c r="C213" s="43"/>
      <c r="D213" s="43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5"/>
      <c r="Z213" s="5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6"/>
      <c r="AR213" s="6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7"/>
      <c r="BF213" s="7"/>
      <c r="BG213" s="44"/>
      <c r="BH213" s="44"/>
      <c r="BI213" s="44"/>
      <c r="BJ213" s="44"/>
      <c r="BK213" s="44"/>
      <c r="BL213" s="44"/>
      <c r="BM213" s="44"/>
      <c r="BN213" s="44"/>
      <c r="BO213" s="8"/>
      <c r="BP213" s="8"/>
      <c r="BQ213" s="44"/>
      <c r="BR213" s="44"/>
      <c r="BS213" s="44"/>
      <c r="BT213" s="44"/>
      <c r="BU213" s="45"/>
      <c r="BV213" s="44"/>
      <c r="BW213" s="44"/>
      <c r="BX213" s="44"/>
      <c r="BY213" s="44"/>
      <c r="BZ213" s="46"/>
      <c r="CA213" s="44"/>
      <c r="CB213" s="44"/>
      <c r="CC213" s="44"/>
      <c r="CD213" s="44"/>
      <c r="CE213" s="47"/>
      <c r="CF213" s="44"/>
      <c r="CG213" s="44"/>
      <c r="CH213" s="44"/>
      <c r="CI213" s="44"/>
      <c r="CJ213" s="48"/>
      <c r="CK213" s="44"/>
      <c r="CL213" s="44"/>
      <c r="CM213" s="44"/>
      <c r="CN213" s="44"/>
      <c r="CO213" s="49"/>
      <c r="CP213" s="44"/>
      <c r="CQ213" s="44"/>
      <c r="CR213" s="44"/>
      <c r="CS213" s="44"/>
      <c r="CT213" s="15"/>
      <c r="CU213" s="16"/>
      <c r="CV213" s="16"/>
      <c r="CW213" s="16"/>
      <c r="CX213" s="15"/>
      <c r="CY213" s="16"/>
      <c r="CZ213" s="29"/>
    </row>
    <row r="214" spans="1:104">
      <c r="A214" s="133"/>
      <c r="B214" s="51"/>
      <c r="C214" s="43"/>
      <c r="D214" s="43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5"/>
      <c r="Z214" s="5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6"/>
      <c r="AR214" s="6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7"/>
      <c r="BF214" s="7"/>
      <c r="BG214" s="44"/>
      <c r="BH214" s="44"/>
      <c r="BI214" s="44"/>
      <c r="BJ214" s="44"/>
      <c r="BK214" s="44"/>
      <c r="BL214" s="44"/>
      <c r="BM214" s="44"/>
      <c r="BN214" s="44"/>
      <c r="BO214" s="8"/>
      <c r="BP214" s="8"/>
      <c r="BQ214" s="44"/>
      <c r="BR214" s="44"/>
      <c r="BS214" s="44"/>
      <c r="BT214" s="44"/>
      <c r="BU214" s="45"/>
      <c r="BV214" s="44"/>
      <c r="BW214" s="44"/>
      <c r="BX214" s="44"/>
      <c r="BY214" s="44"/>
      <c r="BZ214" s="46"/>
      <c r="CA214" s="44"/>
      <c r="CB214" s="44"/>
      <c r="CC214" s="44"/>
      <c r="CD214" s="44"/>
      <c r="CE214" s="47"/>
      <c r="CF214" s="44"/>
      <c r="CG214" s="44"/>
      <c r="CH214" s="44"/>
      <c r="CI214" s="44"/>
      <c r="CJ214" s="48"/>
      <c r="CK214" s="44"/>
      <c r="CL214" s="44"/>
      <c r="CM214" s="44"/>
      <c r="CN214" s="44"/>
      <c r="CO214" s="49"/>
      <c r="CP214" s="44"/>
      <c r="CQ214" s="44"/>
      <c r="CR214" s="44"/>
      <c r="CS214" s="44"/>
      <c r="CT214" s="15"/>
      <c r="CU214" s="16"/>
      <c r="CV214" s="16"/>
      <c r="CW214" s="16"/>
      <c r="CX214" s="15"/>
      <c r="CY214" s="16"/>
      <c r="CZ214" s="29"/>
    </row>
    <row r="215" spans="1:104" ht="14.25" customHeight="1">
      <c r="A215" s="133"/>
      <c r="B215" s="51"/>
      <c r="C215" s="43"/>
      <c r="D215" s="43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5"/>
      <c r="Z215" s="5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6"/>
      <c r="AR215" s="6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7"/>
      <c r="BF215" s="7"/>
      <c r="BG215" s="44"/>
      <c r="BH215" s="44"/>
      <c r="BI215" s="44"/>
      <c r="BJ215" s="44"/>
      <c r="BK215" s="44"/>
      <c r="BL215" s="44"/>
      <c r="BM215" s="44"/>
      <c r="BN215" s="44"/>
      <c r="BO215" s="8"/>
      <c r="BP215" s="8"/>
      <c r="BQ215" s="44"/>
      <c r="BR215" s="44"/>
      <c r="BS215" s="44"/>
      <c r="BT215" s="44"/>
      <c r="BU215" s="45"/>
      <c r="BV215" s="44"/>
      <c r="BW215" s="44"/>
      <c r="BX215" s="44"/>
      <c r="BY215" s="44"/>
      <c r="BZ215" s="46"/>
      <c r="CA215" s="44"/>
      <c r="CB215" s="44"/>
      <c r="CC215" s="44"/>
      <c r="CD215" s="44"/>
      <c r="CE215" s="47"/>
      <c r="CF215" s="44"/>
      <c r="CG215" s="44"/>
      <c r="CH215" s="44"/>
      <c r="CI215" s="44"/>
      <c r="CJ215" s="48"/>
      <c r="CK215" s="44"/>
      <c r="CL215" s="44"/>
      <c r="CM215" s="44"/>
      <c r="CN215" s="44"/>
      <c r="CO215" s="49"/>
      <c r="CP215" s="44"/>
      <c r="CQ215" s="44"/>
      <c r="CR215" s="44"/>
      <c r="CS215" s="44"/>
      <c r="CT215" s="15"/>
      <c r="CU215" s="16"/>
      <c r="CV215" s="16"/>
      <c r="CW215" s="16"/>
      <c r="CX215" s="15"/>
      <c r="CY215" s="16"/>
      <c r="CZ215" s="29"/>
    </row>
    <row r="216" spans="1:104">
      <c r="A216" s="133"/>
      <c r="B216" s="51"/>
      <c r="C216" s="43"/>
      <c r="D216" s="43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5"/>
      <c r="Z216" s="5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6"/>
      <c r="AR216" s="6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7"/>
      <c r="BF216" s="7"/>
      <c r="BG216" s="44"/>
      <c r="BH216" s="44"/>
      <c r="BI216" s="44"/>
      <c r="BJ216" s="44"/>
      <c r="BK216" s="44"/>
      <c r="BL216" s="44"/>
      <c r="BM216" s="44"/>
      <c r="BN216" s="44"/>
      <c r="BO216" s="8"/>
      <c r="BP216" s="8"/>
      <c r="BQ216" s="44"/>
      <c r="BR216" s="44"/>
      <c r="BS216" s="44"/>
      <c r="BT216" s="44"/>
      <c r="BU216" s="45"/>
      <c r="BV216" s="44"/>
      <c r="BW216" s="44"/>
      <c r="BX216" s="44"/>
      <c r="BY216" s="44"/>
      <c r="BZ216" s="46"/>
      <c r="CA216" s="44"/>
      <c r="CB216" s="44"/>
      <c r="CC216" s="44"/>
      <c r="CD216" s="44"/>
      <c r="CE216" s="47"/>
      <c r="CF216" s="44"/>
      <c r="CG216" s="44"/>
      <c r="CH216" s="44"/>
      <c r="CI216" s="44"/>
      <c r="CJ216" s="48"/>
      <c r="CK216" s="44"/>
      <c r="CL216" s="44"/>
      <c r="CM216" s="44"/>
      <c r="CN216" s="44"/>
      <c r="CO216" s="49"/>
      <c r="CP216" s="44"/>
      <c r="CQ216" s="44"/>
      <c r="CR216" s="44"/>
      <c r="CS216" s="44"/>
      <c r="CT216" s="15"/>
      <c r="CU216" s="16"/>
      <c r="CV216" s="16"/>
      <c r="CW216" s="16"/>
      <c r="CX216" s="15"/>
      <c r="CY216" s="16"/>
      <c r="CZ216" s="29"/>
    </row>
    <row r="217" spans="1:104" ht="14.25" customHeight="1">
      <c r="A217" s="133"/>
      <c r="B217" s="163"/>
      <c r="C217" s="164"/>
      <c r="D217" s="164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37"/>
      <c r="Z217" s="137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  <c r="AQ217" s="138"/>
      <c r="AR217" s="138"/>
      <c r="AS217" s="165"/>
      <c r="AT217" s="165"/>
      <c r="AU217" s="165"/>
      <c r="AV217" s="165"/>
      <c r="AW217" s="165"/>
      <c r="AX217" s="165"/>
      <c r="AY217" s="165"/>
      <c r="AZ217" s="165"/>
      <c r="BA217" s="165"/>
      <c r="BB217" s="165"/>
      <c r="BC217" s="165"/>
      <c r="BD217" s="165"/>
      <c r="BE217" s="139"/>
      <c r="BF217" s="139"/>
      <c r="BG217" s="165"/>
      <c r="BH217" s="165"/>
      <c r="BI217" s="165"/>
      <c r="BJ217" s="165"/>
      <c r="BK217" s="165"/>
      <c r="BL217" s="165"/>
      <c r="BM217" s="165"/>
      <c r="BN217" s="165"/>
      <c r="BO217" s="140"/>
      <c r="BP217" s="140"/>
      <c r="BQ217" s="165"/>
      <c r="BR217" s="165"/>
      <c r="BS217" s="165"/>
      <c r="BT217" s="165"/>
      <c r="BU217" s="166"/>
      <c r="BV217" s="165"/>
      <c r="BW217" s="165"/>
      <c r="BX217" s="165"/>
      <c r="BY217" s="165"/>
      <c r="BZ217" s="167"/>
      <c r="CA217" s="165"/>
      <c r="CB217" s="165"/>
      <c r="CC217" s="165"/>
      <c r="CD217" s="165"/>
      <c r="CE217" s="168"/>
      <c r="CF217" s="165"/>
      <c r="CG217" s="165"/>
      <c r="CH217" s="165"/>
      <c r="CI217" s="165"/>
      <c r="CJ217" s="169"/>
      <c r="CK217" s="165"/>
      <c r="CL217" s="165"/>
      <c r="CM217" s="165"/>
      <c r="CN217" s="165"/>
      <c r="CO217" s="170"/>
      <c r="CP217" s="165"/>
      <c r="CQ217" s="165"/>
      <c r="CR217" s="165"/>
      <c r="CS217" s="165"/>
      <c r="CT217" s="141"/>
      <c r="CU217" s="142"/>
      <c r="CV217" s="142"/>
      <c r="CW217" s="142"/>
      <c r="CX217" s="141"/>
      <c r="CY217" s="142"/>
      <c r="CZ217" s="171"/>
    </row>
    <row r="218" spans="1:104" s="29" customFormat="1" ht="15" customHeight="1">
      <c r="A218" s="133"/>
      <c r="B218" s="51"/>
      <c r="C218" s="43"/>
      <c r="D218" s="43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157"/>
      <c r="Z218" s="157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158"/>
      <c r="AR218" s="158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159"/>
      <c r="BF218" s="159"/>
      <c r="BG218" s="44"/>
      <c r="BH218" s="44"/>
      <c r="BI218" s="44"/>
      <c r="BJ218" s="44"/>
      <c r="BK218" s="44"/>
      <c r="BL218" s="44"/>
      <c r="BM218" s="44"/>
      <c r="BN218" s="44"/>
      <c r="BO218" s="160"/>
      <c r="BP218" s="160"/>
      <c r="BQ218" s="44"/>
      <c r="BR218" s="44"/>
      <c r="BS218" s="44"/>
      <c r="BT218" s="44"/>
      <c r="BU218" s="45"/>
      <c r="BV218" s="44"/>
      <c r="BW218" s="44"/>
      <c r="BX218" s="44"/>
      <c r="BY218" s="44"/>
      <c r="BZ218" s="46"/>
      <c r="CA218" s="44"/>
      <c r="CB218" s="44"/>
      <c r="CC218" s="44"/>
      <c r="CD218" s="44"/>
      <c r="CE218" s="47"/>
      <c r="CF218" s="44"/>
      <c r="CG218" s="44"/>
      <c r="CH218" s="44"/>
      <c r="CI218" s="44"/>
      <c r="CJ218" s="48"/>
      <c r="CK218" s="44"/>
      <c r="CL218" s="44"/>
      <c r="CM218" s="44"/>
      <c r="CN218" s="44"/>
      <c r="CO218" s="49"/>
      <c r="CP218" s="44"/>
      <c r="CQ218" s="44"/>
      <c r="CR218" s="44"/>
      <c r="CS218" s="44"/>
      <c r="CT218" s="161"/>
      <c r="CU218" s="162"/>
      <c r="CV218" s="162"/>
      <c r="CW218" s="162"/>
      <c r="CX218" s="161"/>
      <c r="CY218" s="162"/>
    </row>
    <row r="219" spans="1:104">
      <c r="A219" s="133"/>
      <c r="B219" s="54"/>
      <c r="C219" s="143"/>
      <c r="D219" s="143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5"/>
      <c r="Z219" s="145"/>
      <c r="AA219" s="144"/>
      <c r="AB219" s="144"/>
      <c r="AC219" s="144"/>
      <c r="AD219" s="144"/>
      <c r="AE219" s="144"/>
      <c r="AF219" s="144"/>
      <c r="AG219" s="144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6"/>
      <c r="AR219" s="146"/>
      <c r="AS219" s="144"/>
      <c r="AT219" s="144"/>
      <c r="AU219" s="144"/>
      <c r="AV219" s="144"/>
      <c r="AW219" s="144"/>
      <c r="AX219" s="144"/>
      <c r="AY219" s="144"/>
      <c r="AZ219" s="144"/>
      <c r="BA219" s="144"/>
      <c r="BB219" s="144"/>
      <c r="BC219" s="144"/>
      <c r="BD219" s="144"/>
      <c r="BE219" s="147"/>
      <c r="BF219" s="147"/>
      <c r="BG219" s="144"/>
      <c r="BH219" s="144"/>
      <c r="BI219" s="144"/>
      <c r="BJ219" s="144"/>
      <c r="BK219" s="144"/>
      <c r="BL219" s="144"/>
      <c r="BM219" s="144"/>
      <c r="BN219" s="144"/>
      <c r="BO219" s="148"/>
      <c r="BP219" s="148"/>
      <c r="BQ219" s="144"/>
      <c r="BR219" s="144"/>
      <c r="BS219" s="144"/>
      <c r="BT219" s="144"/>
      <c r="BU219" s="149"/>
      <c r="BV219" s="144"/>
      <c r="BW219" s="144"/>
      <c r="BX219" s="144"/>
      <c r="BY219" s="144"/>
      <c r="BZ219" s="150"/>
      <c r="CA219" s="144"/>
      <c r="CB219" s="144"/>
      <c r="CC219" s="144"/>
      <c r="CD219" s="144"/>
      <c r="CE219" s="151"/>
      <c r="CF219" s="144"/>
      <c r="CG219" s="144"/>
      <c r="CH219" s="144"/>
      <c r="CI219" s="144"/>
      <c r="CJ219" s="152"/>
      <c r="CK219" s="144"/>
      <c r="CL219" s="144"/>
      <c r="CM219" s="144"/>
      <c r="CN219" s="144"/>
      <c r="CO219" s="153"/>
      <c r="CP219" s="144"/>
      <c r="CQ219" s="144"/>
      <c r="CR219" s="144"/>
      <c r="CS219" s="144"/>
      <c r="CT219" s="154"/>
      <c r="CU219" s="155"/>
      <c r="CV219" s="155"/>
      <c r="CW219" s="155"/>
      <c r="CX219" s="154"/>
      <c r="CY219" s="155"/>
      <c r="CZ219" s="156"/>
    </row>
    <row r="220" spans="1:104" ht="14.25" customHeight="1">
      <c r="A220" s="133"/>
      <c r="B220" s="51"/>
      <c r="C220" s="43"/>
      <c r="D220" s="43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5"/>
      <c r="Z220" s="5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6"/>
      <c r="AR220" s="6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7"/>
      <c r="BF220" s="7"/>
      <c r="BG220" s="44"/>
      <c r="BH220" s="44"/>
      <c r="BI220" s="44"/>
      <c r="BJ220" s="44"/>
      <c r="BK220" s="44"/>
      <c r="BL220" s="44"/>
      <c r="BM220" s="44"/>
      <c r="BN220" s="44"/>
      <c r="BO220" s="8"/>
      <c r="BP220" s="8"/>
      <c r="BQ220" s="44"/>
      <c r="BR220" s="44"/>
      <c r="BS220" s="44"/>
      <c r="BT220" s="44"/>
      <c r="BU220" s="45"/>
      <c r="BV220" s="44"/>
      <c r="BW220" s="44"/>
      <c r="BX220" s="44"/>
      <c r="BY220" s="44"/>
      <c r="BZ220" s="46"/>
      <c r="CA220" s="44"/>
      <c r="CB220" s="44"/>
      <c r="CC220" s="44"/>
      <c r="CD220" s="44"/>
      <c r="CE220" s="47"/>
      <c r="CF220" s="44"/>
      <c r="CG220" s="44"/>
      <c r="CH220" s="44"/>
      <c r="CI220" s="44"/>
      <c r="CJ220" s="48"/>
      <c r="CK220" s="44"/>
      <c r="CL220" s="44"/>
      <c r="CM220" s="44"/>
      <c r="CN220" s="44"/>
      <c r="CO220" s="49"/>
      <c r="CP220" s="44"/>
      <c r="CQ220" s="44"/>
      <c r="CR220" s="44"/>
      <c r="CS220" s="44"/>
      <c r="CT220" s="15"/>
      <c r="CU220" s="16"/>
      <c r="CV220" s="16"/>
      <c r="CW220" s="16"/>
      <c r="CX220" s="15"/>
      <c r="CY220" s="16"/>
      <c r="CZ220" s="29"/>
    </row>
    <row r="221" spans="1:104">
      <c r="A221" s="133"/>
      <c r="B221" s="51"/>
      <c r="C221" s="43"/>
      <c r="D221" s="43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5"/>
      <c r="Z221" s="5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6"/>
      <c r="AR221" s="6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7"/>
      <c r="BF221" s="7"/>
      <c r="BG221" s="44"/>
      <c r="BH221" s="44"/>
      <c r="BI221" s="44"/>
      <c r="BJ221" s="44"/>
      <c r="BK221" s="44"/>
      <c r="BL221" s="44"/>
      <c r="BM221" s="44"/>
      <c r="BN221" s="44"/>
      <c r="BO221" s="8"/>
      <c r="BP221" s="8"/>
      <c r="BQ221" s="44"/>
      <c r="BR221" s="44"/>
      <c r="BS221" s="44"/>
      <c r="BT221" s="44"/>
      <c r="BU221" s="45"/>
      <c r="BV221" s="44"/>
      <c r="BW221" s="44"/>
      <c r="BX221" s="44"/>
      <c r="BY221" s="44"/>
      <c r="BZ221" s="46"/>
      <c r="CA221" s="44"/>
      <c r="CB221" s="44"/>
      <c r="CC221" s="44"/>
      <c r="CD221" s="44"/>
      <c r="CE221" s="47"/>
      <c r="CF221" s="44"/>
      <c r="CG221" s="44"/>
      <c r="CH221" s="44"/>
      <c r="CI221" s="44"/>
      <c r="CJ221" s="48"/>
      <c r="CK221" s="44"/>
      <c r="CL221" s="44"/>
      <c r="CM221" s="44"/>
      <c r="CN221" s="44"/>
      <c r="CO221" s="49"/>
      <c r="CP221" s="44"/>
      <c r="CQ221" s="44"/>
      <c r="CR221" s="44"/>
      <c r="CS221" s="44"/>
      <c r="CT221" s="15"/>
      <c r="CU221" s="16"/>
      <c r="CV221" s="16"/>
      <c r="CW221" s="16"/>
      <c r="CX221" s="15"/>
      <c r="CY221" s="16"/>
      <c r="CZ221" s="29"/>
    </row>
    <row r="222" spans="1:104" ht="14.25" customHeight="1">
      <c r="A222" s="133"/>
      <c r="B222" s="51"/>
      <c r="C222" s="43"/>
      <c r="D222" s="43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5"/>
      <c r="Z222" s="5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6"/>
      <c r="AR222" s="6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7"/>
      <c r="BF222" s="7"/>
      <c r="BG222" s="44"/>
      <c r="BH222" s="44"/>
      <c r="BI222" s="44"/>
      <c r="BJ222" s="44"/>
      <c r="BK222" s="44"/>
      <c r="BL222" s="44"/>
      <c r="BM222" s="44"/>
      <c r="BN222" s="44"/>
      <c r="BO222" s="8"/>
      <c r="BP222" s="8"/>
      <c r="BQ222" s="44"/>
      <c r="BR222" s="44"/>
      <c r="BS222" s="44"/>
      <c r="BT222" s="44"/>
      <c r="BU222" s="45"/>
      <c r="BV222" s="44"/>
      <c r="BW222" s="44"/>
      <c r="BX222" s="44"/>
      <c r="BY222" s="44"/>
      <c r="BZ222" s="46"/>
      <c r="CA222" s="44"/>
      <c r="CB222" s="44"/>
      <c r="CC222" s="44"/>
      <c r="CD222" s="44"/>
      <c r="CE222" s="47"/>
      <c r="CF222" s="44"/>
      <c r="CG222" s="44"/>
      <c r="CH222" s="44"/>
      <c r="CI222" s="44"/>
      <c r="CJ222" s="48"/>
      <c r="CK222" s="44"/>
      <c r="CL222" s="44"/>
      <c r="CM222" s="44"/>
      <c r="CN222" s="44"/>
      <c r="CO222" s="49"/>
      <c r="CP222" s="44"/>
      <c r="CQ222" s="44"/>
      <c r="CR222" s="44"/>
      <c r="CS222" s="44"/>
      <c r="CT222" s="15"/>
      <c r="CU222" s="16"/>
      <c r="CV222" s="16"/>
      <c r="CW222" s="16"/>
      <c r="CX222" s="15"/>
      <c r="CY222" s="16"/>
      <c r="CZ222" s="29"/>
    </row>
    <row r="223" spans="1:104">
      <c r="A223" s="133"/>
      <c r="B223" s="51"/>
      <c r="C223" s="43"/>
      <c r="D223" s="43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5"/>
      <c r="Z223" s="5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6"/>
      <c r="AR223" s="6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7"/>
      <c r="BF223" s="7"/>
      <c r="BG223" s="44"/>
      <c r="BH223" s="44"/>
      <c r="BI223" s="44"/>
      <c r="BJ223" s="44"/>
      <c r="BK223" s="44"/>
      <c r="BL223" s="44"/>
      <c r="BM223" s="44"/>
      <c r="BN223" s="44"/>
      <c r="BO223" s="8"/>
      <c r="BP223" s="8"/>
      <c r="BQ223" s="44"/>
      <c r="BR223" s="44"/>
      <c r="BS223" s="44"/>
      <c r="BT223" s="44"/>
      <c r="BU223" s="45"/>
      <c r="BV223" s="44"/>
      <c r="BW223" s="44"/>
      <c r="BX223" s="44"/>
      <c r="BY223" s="44"/>
      <c r="BZ223" s="46"/>
      <c r="CA223" s="44"/>
      <c r="CB223" s="44"/>
      <c r="CC223" s="44"/>
      <c r="CD223" s="44"/>
      <c r="CE223" s="47"/>
      <c r="CF223" s="44"/>
      <c r="CG223" s="44"/>
      <c r="CH223" s="44"/>
      <c r="CI223" s="44"/>
      <c r="CJ223" s="48"/>
      <c r="CK223" s="44"/>
      <c r="CL223" s="44"/>
      <c r="CM223" s="44"/>
      <c r="CN223" s="44"/>
      <c r="CO223" s="49"/>
      <c r="CP223" s="44"/>
      <c r="CQ223" s="44"/>
      <c r="CR223" s="44"/>
      <c r="CS223" s="44"/>
      <c r="CT223" s="15"/>
      <c r="CU223" s="16"/>
      <c r="CV223" s="16"/>
      <c r="CW223" s="16"/>
      <c r="CX223" s="15"/>
      <c r="CY223" s="16"/>
      <c r="CZ223" s="29"/>
    </row>
    <row r="224" spans="1:104">
      <c r="A224" s="133"/>
      <c r="B224" s="51"/>
      <c r="C224" s="43"/>
      <c r="D224" s="43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5"/>
      <c r="Z224" s="5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6"/>
      <c r="AR224" s="6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7"/>
      <c r="BF224" s="7"/>
      <c r="BG224" s="44"/>
      <c r="BH224" s="44"/>
      <c r="BI224" s="44"/>
      <c r="BJ224" s="44"/>
      <c r="BK224" s="44"/>
      <c r="BL224" s="44"/>
      <c r="BM224" s="44"/>
      <c r="BN224" s="44"/>
      <c r="BO224" s="8"/>
      <c r="BP224" s="8"/>
      <c r="BQ224" s="44"/>
      <c r="BR224" s="44"/>
      <c r="BS224" s="44"/>
      <c r="BT224" s="44"/>
      <c r="BU224" s="45"/>
      <c r="BV224" s="44"/>
      <c r="BW224" s="44"/>
      <c r="BX224" s="44"/>
      <c r="BY224" s="44"/>
      <c r="BZ224" s="46"/>
      <c r="CA224" s="44"/>
      <c r="CB224" s="44"/>
      <c r="CC224" s="44"/>
      <c r="CD224" s="44"/>
      <c r="CE224" s="47"/>
      <c r="CF224" s="44"/>
      <c r="CG224" s="44"/>
      <c r="CH224" s="44"/>
      <c r="CI224" s="44"/>
      <c r="CJ224" s="48"/>
      <c r="CK224" s="44"/>
      <c r="CL224" s="44"/>
      <c r="CM224" s="44"/>
      <c r="CN224" s="44"/>
      <c r="CO224" s="49"/>
      <c r="CP224" s="44"/>
      <c r="CQ224" s="44"/>
      <c r="CR224" s="44"/>
      <c r="CS224" s="44"/>
      <c r="CT224" s="15"/>
      <c r="CU224" s="16"/>
      <c r="CV224" s="16"/>
      <c r="CW224" s="16"/>
      <c r="CX224" s="15"/>
      <c r="CY224" s="16"/>
      <c r="CZ224" s="29"/>
    </row>
    <row r="225" spans="1:112">
      <c r="A225" s="133"/>
      <c r="B225" s="51"/>
      <c r="C225" s="43"/>
      <c r="D225" s="43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5"/>
      <c r="Z225" s="5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6"/>
      <c r="AR225" s="6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7"/>
      <c r="BF225" s="7"/>
      <c r="BG225" s="44"/>
      <c r="BH225" s="44"/>
      <c r="BI225" s="44"/>
      <c r="BJ225" s="44"/>
      <c r="BK225" s="44"/>
      <c r="BL225" s="44"/>
      <c r="BM225" s="44"/>
      <c r="BN225" s="44"/>
      <c r="BO225" s="8"/>
      <c r="BP225" s="8"/>
      <c r="BQ225" s="44"/>
      <c r="BR225" s="44"/>
      <c r="BS225" s="44"/>
      <c r="BT225" s="44"/>
      <c r="BU225" s="45"/>
      <c r="BV225" s="44"/>
      <c r="BW225" s="44"/>
      <c r="BX225" s="44"/>
      <c r="BY225" s="44"/>
      <c r="BZ225" s="46"/>
      <c r="CA225" s="44"/>
      <c r="CB225" s="44"/>
      <c r="CC225" s="44"/>
      <c r="CD225" s="44"/>
      <c r="CE225" s="47"/>
      <c r="CF225" s="44"/>
      <c r="CG225" s="44"/>
      <c r="CH225" s="44"/>
      <c r="CI225" s="44"/>
      <c r="CJ225" s="48"/>
      <c r="CK225" s="44"/>
      <c r="CL225" s="44"/>
      <c r="CM225" s="44"/>
      <c r="CN225" s="44"/>
      <c r="CO225" s="49"/>
      <c r="CP225" s="44"/>
      <c r="CQ225" s="44"/>
      <c r="CR225" s="44"/>
      <c r="CS225" s="44"/>
      <c r="CT225" s="15"/>
      <c r="CU225" s="16"/>
      <c r="CV225" s="16"/>
      <c r="CW225" s="16"/>
      <c r="CX225" s="15"/>
      <c r="CY225" s="16"/>
      <c r="CZ225" s="29"/>
    </row>
    <row r="226" spans="1:112">
      <c r="A226" s="133"/>
      <c r="B226" s="51"/>
      <c r="C226" s="43"/>
      <c r="D226" s="43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5"/>
      <c r="Z226" s="5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6"/>
      <c r="AR226" s="6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7"/>
      <c r="BF226" s="7"/>
      <c r="BG226" s="44"/>
      <c r="BH226" s="44"/>
      <c r="BI226" s="44"/>
      <c r="BJ226" s="44"/>
      <c r="BK226" s="44"/>
      <c r="BL226" s="44"/>
      <c r="BM226" s="44"/>
      <c r="BN226" s="44"/>
      <c r="BO226" s="8"/>
      <c r="BP226" s="8"/>
      <c r="BQ226" s="44"/>
      <c r="BR226" s="44"/>
      <c r="BS226" s="44"/>
      <c r="BT226" s="44"/>
      <c r="BU226" s="45"/>
      <c r="BV226" s="44"/>
      <c r="BW226" s="44"/>
      <c r="BX226" s="44"/>
      <c r="BY226" s="44"/>
      <c r="BZ226" s="46"/>
      <c r="CA226" s="44"/>
      <c r="CB226" s="44"/>
      <c r="CC226" s="44"/>
      <c r="CD226" s="44"/>
      <c r="CE226" s="47"/>
      <c r="CF226" s="44"/>
      <c r="CG226" s="44"/>
      <c r="CH226" s="44"/>
      <c r="CI226" s="44"/>
      <c r="CJ226" s="48"/>
      <c r="CK226" s="44"/>
      <c r="CL226" s="44"/>
      <c r="CM226" s="44"/>
      <c r="CN226" s="44"/>
      <c r="CO226" s="49"/>
      <c r="CP226" s="44"/>
      <c r="CQ226" s="44"/>
      <c r="CR226" s="44"/>
      <c r="CS226" s="44"/>
      <c r="CT226" s="15"/>
      <c r="CU226" s="16"/>
      <c r="CV226" s="16"/>
      <c r="CW226" s="16"/>
      <c r="CX226" s="15"/>
      <c r="CY226" s="16"/>
      <c r="CZ226" s="29"/>
    </row>
    <row r="227" spans="1:112">
      <c r="A227" s="133"/>
      <c r="B227" s="51"/>
      <c r="C227" s="43"/>
      <c r="D227" s="43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5"/>
      <c r="Z227" s="5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6"/>
      <c r="AR227" s="6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7"/>
      <c r="BF227" s="7"/>
      <c r="BG227" s="44"/>
      <c r="BH227" s="44"/>
      <c r="BI227" s="44"/>
      <c r="BJ227" s="44"/>
      <c r="BK227" s="44"/>
      <c r="BL227" s="44"/>
      <c r="BM227" s="44"/>
      <c r="BN227" s="44"/>
      <c r="BO227" s="8"/>
      <c r="BP227" s="8"/>
      <c r="BQ227" s="44"/>
      <c r="BR227" s="44"/>
      <c r="BS227" s="44"/>
      <c r="BT227" s="44"/>
      <c r="BU227" s="45"/>
      <c r="BV227" s="44"/>
      <c r="BW227" s="44"/>
      <c r="BX227" s="44"/>
      <c r="BY227" s="44"/>
      <c r="BZ227" s="46"/>
      <c r="CA227" s="44"/>
      <c r="CB227" s="44"/>
      <c r="CC227" s="44"/>
      <c r="CD227" s="44"/>
      <c r="CE227" s="47"/>
      <c r="CF227" s="44"/>
      <c r="CG227" s="44"/>
      <c r="CH227" s="44"/>
      <c r="CI227" s="44"/>
      <c r="CJ227" s="48"/>
      <c r="CK227" s="44"/>
      <c r="CL227" s="44"/>
      <c r="CM227" s="44"/>
      <c r="CN227" s="44"/>
      <c r="CO227" s="49"/>
      <c r="CP227" s="44"/>
      <c r="CQ227" s="44"/>
      <c r="CR227" s="44"/>
      <c r="CS227" s="44"/>
      <c r="CT227" s="15"/>
      <c r="CU227" s="16"/>
      <c r="CV227" s="16"/>
      <c r="CW227" s="16"/>
      <c r="CX227" s="15"/>
      <c r="CY227" s="16"/>
      <c r="CZ227" s="29"/>
    </row>
    <row r="228" spans="1:112">
      <c r="A228" s="133"/>
      <c r="B228" s="54"/>
      <c r="C228" s="43"/>
      <c r="D228" s="43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5"/>
      <c r="Z228" s="5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6"/>
      <c r="AR228" s="6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7"/>
      <c r="BF228" s="7"/>
      <c r="BG228" s="44"/>
      <c r="BH228" s="44"/>
      <c r="BI228" s="44"/>
      <c r="BJ228" s="44"/>
      <c r="BK228" s="44"/>
      <c r="BL228" s="44"/>
      <c r="BM228" s="44"/>
      <c r="BN228" s="44"/>
      <c r="BO228" s="8"/>
      <c r="BP228" s="8"/>
      <c r="BQ228" s="44"/>
      <c r="BR228" s="44"/>
      <c r="BS228" s="44"/>
      <c r="BT228" s="44"/>
      <c r="BU228" s="45"/>
      <c r="BV228" s="44"/>
      <c r="BW228" s="44"/>
      <c r="BX228" s="44"/>
      <c r="BY228" s="44"/>
      <c r="BZ228" s="46"/>
      <c r="CA228" s="44"/>
      <c r="CB228" s="44"/>
      <c r="CC228" s="44"/>
      <c r="CD228" s="44"/>
      <c r="CE228" s="47"/>
      <c r="CF228" s="44"/>
      <c r="CG228" s="44"/>
      <c r="CH228" s="44"/>
      <c r="CI228" s="44"/>
      <c r="CJ228" s="48"/>
      <c r="CK228" s="44"/>
      <c r="CL228" s="44"/>
      <c r="CM228" s="44"/>
      <c r="CN228" s="44"/>
      <c r="CO228" s="49"/>
      <c r="CP228" s="44"/>
      <c r="CQ228" s="44"/>
      <c r="CR228" s="44"/>
      <c r="CS228" s="44"/>
      <c r="CT228" s="15"/>
      <c r="CU228" s="16"/>
      <c r="CV228" s="16"/>
      <c r="CW228" s="16"/>
      <c r="CX228" s="15"/>
      <c r="CY228" s="16"/>
      <c r="CZ228" s="29"/>
    </row>
    <row r="229" spans="1:112">
      <c r="A229" s="133"/>
      <c r="B229" s="51"/>
      <c r="C229" s="43"/>
      <c r="D229" s="43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5"/>
      <c r="Z229" s="5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6"/>
      <c r="AR229" s="6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7"/>
      <c r="BF229" s="7"/>
      <c r="BG229" s="44"/>
      <c r="BH229" s="44"/>
      <c r="BI229" s="44"/>
      <c r="BJ229" s="44"/>
      <c r="BK229" s="44"/>
      <c r="BL229" s="44"/>
      <c r="BM229" s="44"/>
      <c r="BN229" s="44"/>
      <c r="BO229" s="8"/>
      <c r="BP229" s="8"/>
      <c r="BQ229" s="44"/>
      <c r="BR229" s="44"/>
      <c r="BS229" s="44"/>
      <c r="BT229" s="44"/>
      <c r="BU229" s="45"/>
      <c r="BV229" s="44"/>
      <c r="BW229" s="44"/>
      <c r="BX229" s="44"/>
      <c r="BY229" s="44"/>
      <c r="BZ229" s="46"/>
      <c r="CA229" s="44"/>
      <c r="CB229" s="44"/>
      <c r="CC229" s="44"/>
      <c r="CD229" s="44"/>
      <c r="CE229" s="47"/>
      <c r="CF229" s="44"/>
      <c r="CG229" s="44"/>
      <c r="CH229" s="44"/>
      <c r="CI229" s="44"/>
      <c r="CJ229" s="48"/>
      <c r="CK229" s="44"/>
      <c r="CL229" s="44"/>
      <c r="CM229" s="44"/>
      <c r="CN229" s="44"/>
      <c r="CO229" s="49"/>
      <c r="CP229" s="44"/>
      <c r="CQ229" s="44"/>
      <c r="CR229" s="44"/>
      <c r="CS229" s="44"/>
      <c r="CT229" s="15"/>
      <c r="CU229" s="16"/>
      <c r="CV229" s="16"/>
      <c r="CW229" s="16"/>
      <c r="CX229" s="15"/>
      <c r="CY229" s="16"/>
      <c r="CZ229" s="29"/>
    </row>
    <row r="230" spans="1:112">
      <c r="A230" s="133"/>
      <c r="B230" s="164"/>
      <c r="C230" s="164"/>
      <c r="D230" s="164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37"/>
      <c r="Z230" s="137"/>
      <c r="AA230" s="165"/>
      <c r="AB230" s="165"/>
      <c r="AC230" s="165"/>
      <c r="AD230" s="165"/>
      <c r="AE230" s="165"/>
      <c r="AF230" s="165"/>
      <c r="AG230" s="165"/>
      <c r="AH230" s="165"/>
      <c r="AI230" s="165"/>
      <c r="AJ230" s="165"/>
      <c r="AK230" s="165"/>
      <c r="AL230" s="165"/>
      <c r="AM230" s="165"/>
      <c r="AN230" s="165"/>
      <c r="AO230" s="165"/>
      <c r="AP230" s="165"/>
      <c r="AQ230" s="138"/>
      <c r="AR230" s="138"/>
      <c r="AS230" s="165"/>
      <c r="AT230" s="165"/>
      <c r="AU230" s="165"/>
      <c r="AV230" s="165"/>
      <c r="AW230" s="165"/>
      <c r="AX230" s="165"/>
      <c r="AY230" s="165"/>
      <c r="AZ230" s="165"/>
      <c r="BA230" s="165"/>
      <c r="BB230" s="165"/>
      <c r="BC230" s="165"/>
      <c r="BD230" s="165"/>
      <c r="BE230" s="139"/>
      <c r="BF230" s="139"/>
      <c r="BG230" s="165"/>
      <c r="BH230" s="165"/>
      <c r="BI230" s="165"/>
      <c r="BJ230" s="165"/>
      <c r="BK230" s="165"/>
      <c r="BL230" s="165"/>
      <c r="BM230" s="165"/>
      <c r="BN230" s="165"/>
      <c r="BO230" s="140"/>
      <c r="BP230" s="140"/>
      <c r="BQ230" s="165"/>
      <c r="BR230" s="165"/>
      <c r="BS230" s="165"/>
      <c r="BT230" s="165"/>
      <c r="BU230" s="166"/>
      <c r="BV230" s="165"/>
      <c r="BW230" s="165"/>
      <c r="BX230" s="165"/>
      <c r="BY230" s="165"/>
      <c r="BZ230" s="167"/>
      <c r="CA230" s="165"/>
      <c r="CB230" s="165"/>
      <c r="CC230" s="165"/>
      <c r="CD230" s="165"/>
      <c r="CE230" s="168"/>
      <c r="CF230" s="165"/>
      <c r="CG230" s="165"/>
      <c r="CH230" s="165"/>
      <c r="CI230" s="165"/>
      <c r="CJ230" s="169"/>
      <c r="CK230" s="165"/>
      <c r="CL230" s="165"/>
      <c r="CM230" s="165"/>
      <c r="CN230" s="165"/>
      <c r="CO230" s="170"/>
      <c r="CP230" s="165"/>
      <c r="CQ230" s="165"/>
      <c r="CR230" s="165"/>
      <c r="CS230" s="165"/>
      <c r="CT230" s="141"/>
      <c r="CU230" s="142"/>
      <c r="CV230" s="142"/>
      <c r="CW230" s="142"/>
      <c r="CX230" s="141"/>
      <c r="CY230" s="142"/>
      <c r="CZ230" s="171"/>
      <c r="DC230" s="132"/>
      <c r="DD230" s="132"/>
      <c r="DE230" s="132"/>
      <c r="DF230" s="132"/>
      <c r="DG230" s="132"/>
    </row>
    <row r="231" spans="1:112" s="29" customFormat="1" ht="15" customHeight="1">
      <c r="A231" s="133"/>
      <c r="B231" s="51"/>
      <c r="C231" s="43"/>
      <c r="D231" s="43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157"/>
      <c r="Z231" s="157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158"/>
      <c r="AR231" s="158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159"/>
      <c r="BF231" s="159"/>
      <c r="BG231" s="44"/>
      <c r="BH231" s="44"/>
      <c r="BI231" s="44"/>
      <c r="BJ231" s="44"/>
      <c r="BK231" s="44"/>
      <c r="BL231" s="44"/>
      <c r="BM231" s="44"/>
      <c r="BN231" s="44"/>
      <c r="BO231" s="160"/>
      <c r="BP231" s="160"/>
      <c r="BQ231" s="44"/>
      <c r="BR231" s="44"/>
      <c r="BS231" s="44"/>
      <c r="BT231" s="44"/>
      <c r="BU231" s="45"/>
      <c r="BV231" s="44"/>
      <c r="BW231" s="44"/>
      <c r="BX231" s="44"/>
      <c r="BY231" s="44"/>
      <c r="BZ231" s="46"/>
      <c r="CA231" s="44"/>
      <c r="CB231" s="44"/>
      <c r="CC231" s="44"/>
      <c r="CD231" s="44"/>
      <c r="CE231" s="47"/>
      <c r="CF231" s="44"/>
      <c r="CG231" s="44"/>
      <c r="CH231" s="44"/>
      <c r="CI231" s="44"/>
      <c r="CJ231" s="48"/>
      <c r="CK231" s="44"/>
      <c r="CL231" s="44"/>
      <c r="CM231" s="44"/>
      <c r="CN231" s="44"/>
      <c r="CO231" s="49"/>
      <c r="CP231" s="44"/>
      <c r="CQ231" s="44"/>
      <c r="CR231" s="44"/>
      <c r="CS231" s="44"/>
      <c r="CT231" s="161"/>
      <c r="CU231" s="162"/>
      <c r="CV231" s="162"/>
      <c r="CW231" s="162"/>
      <c r="CX231" s="161"/>
      <c r="CY231" s="162"/>
      <c r="DA231" s="132"/>
      <c r="DB231" s="132"/>
      <c r="DC231" s="132"/>
      <c r="DD231" s="132"/>
      <c r="DE231" s="132"/>
      <c r="DF231" s="132"/>
      <c r="DG231" s="132"/>
      <c r="DH231" s="174"/>
    </row>
    <row r="232" spans="1:112">
      <c r="A232" s="133"/>
      <c r="B232" s="143"/>
      <c r="C232" s="143"/>
      <c r="D232" s="143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5"/>
      <c r="Z232" s="145"/>
      <c r="AA232" s="144"/>
      <c r="AB232" s="144"/>
      <c r="AC232" s="144"/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6"/>
      <c r="AR232" s="146"/>
      <c r="AS232" s="144"/>
      <c r="AT232" s="144"/>
      <c r="AU232" s="144"/>
      <c r="AV232" s="144"/>
      <c r="AW232" s="144"/>
      <c r="AX232" s="144"/>
      <c r="AY232" s="144"/>
      <c r="AZ232" s="144"/>
      <c r="BA232" s="144"/>
      <c r="BB232" s="144"/>
      <c r="BC232" s="144"/>
      <c r="BD232" s="144"/>
      <c r="BE232" s="147"/>
      <c r="BF232" s="147"/>
      <c r="BG232" s="144"/>
      <c r="BH232" s="144"/>
      <c r="BI232" s="144"/>
      <c r="BJ232" s="144"/>
      <c r="BK232" s="144"/>
      <c r="BL232" s="144"/>
      <c r="BM232" s="144"/>
      <c r="BN232" s="144"/>
      <c r="BO232" s="148"/>
      <c r="BP232" s="148"/>
      <c r="BQ232" s="144"/>
      <c r="BR232" s="144"/>
      <c r="BS232" s="144"/>
      <c r="BT232" s="144"/>
      <c r="BU232" s="149"/>
      <c r="BV232" s="144"/>
      <c r="BW232" s="144"/>
      <c r="BX232" s="144"/>
      <c r="BY232" s="144"/>
      <c r="BZ232" s="150"/>
      <c r="CA232" s="144"/>
      <c r="CB232" s="144"/>
      <c r="CC232" s="144"/>
      <c r="CD232" s="144"/>
      <c r="CE232" s="151"/>
      <c r="CF232" s="144"/>
      <c r="CG232" s="144"/>
      <c r="CH232" s="144"/>
      <c r="CI232" s="144"/>
      <c r="CJ232" s="152"/>
      <c r="CK232" s="144"/>
      <c r="CL232" s="144"/>
      <c r="CM232" s="144"/>
      <c r="CN232" s="144"/>
      <c r="CO232" s="153"/>
      <c r="CP232" s="144"/>
      <c r="CQ232" s="144"/>
      <c r="CR232" s="144"/>
      <c r="CS232" s="144"/>
      <c r="CT232" s="154"/>
      <c r="CU232" s="155"/>
      <c r="CV232" s="155"/>
      <c r="CW232" s="155"/>
      <c r="CX232" s="154"/>
      <c r="CY232" s="155"/>
      <c r="CZ232" s="156"/>
      <c r="DA232" s="132"/>
      <c r="DB232" s="132"/>
      <c r="DC232" s="132"/>
      <c r="DD232" s="132"/>
      <c r="DE232" s="132"/>
      <c r="DF232" s="132"/>
      <c r="DG232" s="132"/>
    </row>
    <row r="233" spans="1:112">
      <c r="A233" s="133"/>
      <c r="B233" s="43"/>
      <c r="C233" s="43"/>
      <c r="D233" s="43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5"/>
      <c r="Z233" s="5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6"/>
      <c r="AR233" s="6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7"/>
      <c r="BF233" s="7"/>
      <c r="BG233" s="44"/>
      <c r="BH233" s="44"/>
      <c r="BI233" s="44"/>
      <c r="BJ233" s="44"/>
      <c r="BK233" s="44"/>
      <c r="BL233" s="44"/>
      <c r="BM233" s="44"/>
      <c r="BN233" s="44"/>
      <c r="BO233" s="8"/>
      <c r="BP233" s="8"/>
      <c r="BQ233" s="44"/>
      <c r="BR233" s="44"/>
      <c r="BS233" s="44"/>
      <c r="BT233" s="44"/>
      <c r="BU233" s="45"/>
      <c r="BV233" s="44"/>
      <c r="BW233" s="44"/>
      <c r="BX233" s="44"/>
      <c r="BY233" s="44"/>
      <c r="BZ233" s="46"/>
      <c r="CA233" s="44"/>
      <c r="CB233" s="44"/>
      <c r="CC233" s="44"/>
      <c r="CD233" s="44"/>
      <c r="CE233" s="47"/>
      <c r="CF233" s="44"/>
      <c r="CG233" s="44"/>
      <c r="CH233" s="44"/>
      <c r="CI233" s="44"/>
      <c r="CJ233" s="48"/>
      <c r="CK233" s="44"/>
      <c r="CL233" s="44"/>
      <c r="CM233" s="44"/>
      <c r="CN233" s="44"/>
      <c r="CO233" s="49"/>
      <c r="CP233" s="44"/>
      <c r="CQ233" s="44"/>
      <c r="CR233" s="44"/>
      <c r="CS233" s="44"/>
      <c r="CT233" s="15"/>
      <c r="CU233" s="16"/>
      <c r="CV233" s="16"/>
      <c r="CW233" s="16"/>
      <c r="CX233" s="15"/>
      <c r="CY233" s="16"/>
      <c r="CZ233" s="29"/>
      <c r="DC233" s="132"/>
      <c r="DD233" s="132"/>
      <c r="DE233" s="132"/>
      <c r="DF233" s="132"/>
      <c r="DG233" s="132"/>
    </row>
    <row r="234" spans="1:112">
      <c r="A234" s="133"/>
      <c r="B234" s="43"/>
      <c r="C234" s="43"/>
      <c r="D234" s="43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5"/>
      <c r="Z234" s="5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6"/>
      <c r="AR234" s="6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7"/>
      <c r="BF234" s="7"/>
      <c r="BG234" s="44"/>
      <c r="BH234" s="44"/>
      <c r="BI234" s="44"/>
      <c r="BJ234" s="44"/>
      <c r="BK234" s="44"/>
      <c r="BL234" s="44"/>
      <c r="BM234" s="44"/>
      <c r="BN234" s="44"/>
      <c r="BO234" s="8"/>
      <c r="BP234" s="8"/>
      <c r="BQ234" s="44"/>
      <c r="BR234" s="44"/>
      <c r="BS234" s="44"/>
      <c r="BT234" s="44"/>
      <c r="BU234" s="45"/>
      <c r="BV234" s="44"/>
      <c r="BW234" s="44"/>
      <c r="BX234" s="44"/>
      <c r="BY234" s="44"/>
      <c r="BZ234" s="46"/>
      <c r="CA234" s="44"/>
      <c r="CB234" s="44"/>
      <c r="CC234" s="44"/>
      <c r="CD234" s="44"/>
      <c r="CE234" s="47"/>
      <c r="CF234" s="44"/>
      <c r="CG234" s="44"/>
      <c r="CH234" s="44"/>
      <c r="CI234" s="44"/>
      <c r="CJ234" s="48"/>
      <c r="CK234" s="44"/>
      <c r="CL234" s="44"/>
      <c r="CM234" s="44"/>
      <c r="CN234" s="44"/>
      <c r="CO234" s="49"/>
      <c r="CP234" s="44"/>
      <c r="CQ234" s="44"/>
      <c r="CR234" s="44"/>
      <c r="CS234" s="44"/>
      <c r="CT234" s="15"/>
      <c r="CU234" s="16"/>
      <c r="CV234" s="16"/>
      <c r="CW234" s="16"/>
      <c r="CX234" s="15"/>
      <c r="CY234" s="16"/>
      <c r="CZ234" s="29"/>
      <c r="DC234" s="132"/>
      <c r="DD234" s="132"/>
      <c r="DE234" s="132"/>
      <c r="DF234" s="132"/>
      <c r="DG234" s="132"/>
    </row>
    <row r="240" spans="1:112" ht="15.75" thickBot="1"/>
    <row r="241" spans="1:104" s="18" customFormat="1" ht="14.25" customHeight="1">
      <c r="A241" s="55"/>
      <c r="B241" s="56"/>
      <c r="C241" s="43"/>
      <c r="D241" s="57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"/>
      <c r="Z241" s="5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6"/>
      <c r="AQ241" s="6"/>
      <c r="AR241" s="6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7"/>
      <c r="BF241" s="7"/>
      <c r="BG241" s="58"/>
      <c r="BH241" s="58"/>
      <c r="BI241" s="58"/>
      <c r="BJ241" s="58"/>
      <c r="BK241" s="58"/>
      <c r="BL241" s="58"/>
      <c r="BM241" s="58"/>
      <c r="BN241" s="58"/>
      <c r="BO241" s="8"/>
      <c r="BP241" s="8"/>
      <c r="BQ241" s="58"/>
      <c r="BR241" s="58"/>
      <c r="BS241" s="58"/>
      <c r="BT241" s="58"/>
      <c r="BU241" s="59"/>
      <c r="BV241" s="58"/>
      <c r="BW241" s="58"/>
      <c r="BX241" s="58"/>
      <c r="BY241" s="58"/>
      <c r="BZ241" s="60"/>
      <c r="CA241" s="58"/>
      <c r="CB241" s="58"/>
      <c r="CC241" s="58"/>
      <c r="CD241" s="58"/>
      <c r="CE241" s="61"/>
      <c r="CF241" s="58"/>
      <c r="CG241" s="58"/>
      <c r="CH241" s="58"/>
      <c r="CI241" s="58"/>
      <c r="CJ241" s="62"/>
      <c r="CK241" s="58"/>
      <c r="CL241" s="58"/>
      <c r="CM241" s="58"/>
      <c r="CN241" s="58"/>
      <c r="CO241" s="63"/>
      <c r="CP241" s="58"/>
      <c r="CQ241" s="58"/>
      <c r="CR241" s="58"/>
      <c r="CS241" s="58"/>
      <c r="CT241" s="15"/>
      <c r="CU241" s="16"/>
      <c r="CV241" s="16"/>
      <c r="CW241" s="16"/>
      <c r="CX241" s="15"/>
      <c r="CY241" s="16"/>
      <c r="CZ241" s="17"/>
    </row>
    <row r="242" spans="1:104" s="18" customFormat="1" ht="15" customHeight="1">
      <c r="A242" s="64"/>
      <c r="B242" s="65"/>
      <c r="C242" s="43"/>
      <c r="D242" s="57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"/>
      <c r="Z242" s="5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66"/>
      <c r="AQ242" s="6"/>
      <c r="AR242" s="6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7"/>
      <c r="BF242" s="7"/>
      <c r="BG242" s="58"/>
      <c r="BH242" s="58"/>
      <c r="BI242" s="58"/>
      <c r="BJ242" s="58"/>
      <c r="BK242" s="58"/>
      <c r="BL242" s="58"/>
      <c r="BM242" s="58"/>
      <c r="BN242" s="58"/>
      <c r="BO242" s="8"/>
      <c r="BP242" s="8"/>
      <c r="BQ242" s="58"/>
      <c r="BR242" s="58"/>
      <c r="BS242" s="58"/>
      <c r="BT242" s="58"/>
      <c r="BU242" s="59"/>
      <c r="BV242" s="58"/>
      <c r="BW242" s="58"/>
      <c r="BX242" s="58"/>
      <c r="BY242" s="58"/>
      <c r="BZ242" s="60"/>
      <c r="CA242" s="58"/>
      <c r="CB242" s="58"/>
      <c r="CC242" s="58"/>
      <c r="CD242" s="58"/>
      <c r="CE242" s="61"/>
      <c r="CF242" s="58"/>
      <c r="CG242" s="58"/>
      <c r="CH242" s="58"/>
      <c r="CI242" s="58"/>
      <c r="CJ242" s="62"/>
      <c r="CK242" s="58"/>
      <c r="CL242" s="58"/>
      <c r="CM242" s="58"/>
      <c r="CN242" s="58"/>
      <c r="CO242" s="63"/>
      <c r="CP242" s="58"/>
      <c r="CQ242" s="58"/>
      <c r="CR242" s="58"/>
      <c r="CS242" s="58"/>
      <c r="CT242" s="15"/>
      <c r="CU242" s="16"/>
      <c r="CV242" s="16"/>
      <c r="CW242" s="16"/>
      <c r="CX242" s="15"/>
      <c r="CY242" s="16"/>
      <c r="CZ242" s="17"/>
    </row>
    <row r="243" spans="1:104" s="18" customFormat="1" ht="15" customHeight="1">
      <c r="A243" s="64"/>
      <c r="B243" s="66"/>
      <c r="C243" s="43"/>
      <c r="D243" s="57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"/>
      <c r="Z243" s="5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66"/>
      <c r="AQ243" s="6"/>
      <c r="AR243" s="6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7"/>
      <c r="BF243" s="7"/>
      <c r="BG243" s="58"/>
      <c r="BH243" s="58"/>
      <c r="BI243" s="58"/>
      <c r="BJ243" s="58"/>
      <c r="BK243" s="58"/>
      <c r="BL243" s="58"/>
      <c r="BM243" s="58"/>
      <c r="BN243" s="58"/>
      <c r="BO243" s="8"/>
      <c r="BP243" s="8"/>
      <c r="BQ243" s="58"/>
      <c r="BR243" s="58"/>
      <c r="BS243" s="58"/>
      <c r="BT243" s="58"/>
      <c r="BU243" s="59"/>
      <c r="BV243" s="58"/>
      <c r="BW243" s="58"/>
      <c r="BX243" s="58"/>
      <c r="BY243" s="58"/>
      <c r="BZ243" s="60"/>
      <c r="CA243" s="58"/>
      <c r="CB243" s="58"/>
      <c r="CC243" s="58"/>
      <c r="CD243" s="58"/>
      <c r="CE243" s="61"/>
      <c r="CF243" s="58"/>
      <c r="CG243" s="58"/>
      <c r="CH243" s="58"/>
      <c r="CI243" s="58"/>
      <c r="CJ243" s="62"/>
      <c r="CK243" s="58"/>
      <c r="CL243" s="58"/>
      <c r="CM243" s="58"/>
      <c r="CN243" s="58"/>
      <c r="CO243" s="63"/>
      <c r="CP243" s="58"/>
      <c r="CQ243" s="58"/>
      <c r="CR243" s="58"/>
      <c r="CS243" s="58"/>
      <c r="CT243" s="15"/>
      <c r="CU243" s="16"/>
      <c r="CV243" s="16"/>
      <c r="CW243" s="16"/>
      <c r="CX243" s="15"/>
      <c r="CY243" s="16"/>
      <c r="CZ243" s="17"/>
    </row>
    <row r="244" spans="1:104" s="18" customFormat="1" ht="15" customHeight="1">
      <c r="A244" s="64"/>
      <c r="B244" s="65"/>
      <c r="C244" s="43"/>
      <c r="D244" s="57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"/>
      <c r="Z244" s="5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66"/>
      <c r="AQ244" s="6"/>
      <c r="AR244" s="6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7"/>
      <c r="BF244" s="7"/>
      <c r="BG244" s="58"/>
      <c r="BH244" s="58"/>
      <c r="BI244" s="58"/>
      <c r="BJ244" s="58"/>
      <c r="BK244" s="58"/>
      <c r="BL244" s="58"/>
      <c r="BM244" s="58"/>
      <c r="BN244" s="58"/>
      <c r="BO244" s="8"/>
      <c r="BP244" s="8"/>
      <c r="BQ244" s="58"/>
      <c r="BR244" s="58"/>
      <c r="BS244" s="58"/>
      <c r="BT244" s="58"/>
      <c r="BU244" s="59"/>
      <c r="BV244" s="58"/>
      <c r="BW244" s="58"/>
      <c r="BX244" s="58"/>
      <c r="BY244" s="58"/>
      <c r="BZ244" s="60"/>
      <c r="CA244" s="58"/>
      <c r="CB244" s="58"/>
      <c r="CC244" s="58"/>
      <c r="CD244" s="58"/>
      <c r="CE244" s="61"/>
      <c r="CF244" s="58"/>
      <c r="CG244" s="58"/>
      <c r="CH244" s="58"/>
      <c r="CI244" s="58"/>
      <c r="CJ244" s="62"/>
      <c r="CK244" s="58"/>
      <c r="CL244" s="58"/>
      <c r="CM244" s="58"/>
      <c r="CN244" s="58"/>
      <c r="CO244" s="63"/>
      <c r="CP244" s="58"/>
      <c r="CQ244" s="58"/>
      <c r="CR244" s="58"/>
      <c r="CS244" s="58"/>
      <c r="CT244" s="15"/>
      <c r="CU244" s="16"/>
      <c r="CV244" s="16"/>
      <c r="CW244" s="16"/>
      <c r="CX244" s="15"/>
      <c r="CY244" s="16"/>
      <c r="CZ244" s="17"/>
    </row>
    <row r="245" spans="1:104" s="18" customFormat="1" ht="15" customHeight="1">
      <c r="A245" s="64"/>
      <c r="B245" s="66"/>
      <c r="C245" s="43"/>
      <c r="D245" s="57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"/>
      <c r="Z245" s="5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66"/>
      <c r="AQ245" s="6"/>
      <c r="AR245" s="6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7"/>
      <c r="BF245" s="7"/>
      <c r="BG245" s="58"/>
      <c r="BH245" s="58"/>
      <c r="BI245" s="58"/>
      <c r="BJ245" s="58"/>
      <c r="BK245" s="58"/>
      <c r="BL245" s="58"/>
      <c r="BM245" s="58"/>
      <c r="BN245" s="58"/>
      <c r="BO245" s="8"/>
      <c r="BP245" s="8"/>
      <c r="BQ245" s="58"/>
      <c r="BR245" s="58"/>
      <c r="BS245" s="58"/>
      <c r="BT245" s="58"/>
      <c r="BU245" s="59"/>
      <c r="BV245" s="58"/>
      <c r="BW245" s="58"/>
      <c r="BX245" s="58"/>
      <c r="BY245" s="58"/>
      <c r="BZ245" s="60"/>
      <c r="CA245" s="58"/>
      <c r="CB245" s="58"/>
      <c r="CC245" s="58"/>
      <c r="CD245" s="58"/>
      <c r="CE245" s="61"/>
      <c r="CF245" s="58"/>
      <c r="CG245" s="58"/>
      <c r="CH245" s="58"/>
      <c r="CI245" s="58"/>
      <c r="CJ245" s="62"/>
      <c r="CK245" s="58"/>
      <c r="CL245" s="58"/>
      <c r="CM245" s="58"/>
      <c r="CN245" s="58"/>
      <c r="CO245" s="63"/>
      <c r="CP245" s="58"/>
      <c r="CQ245" s="58"/>
      <c r="CR245" s="58"/>
      <c r="CS245" s="58"/>
      <c r="CT245" s="15"/>
      <c r="CU245" s="16"/>
      <c r="CV245" s="16"/>
      <c r="CW245" s="16"/>
      <c r="CX245" s="15"/>
      <c r="CY245" s="16"/>
      <c r="CZ245" s="17"/>
    </row>
    <row r="246" spans="1:104" s="18" customFormat="1" ht="15" customHeight="1">
      <c r="A246" s="64"/>
      <c r="B246" s="66"/>
      <c r="C246" s="43"/>
      <c r="D246" s="57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"/>
      <c r="Z246" s="5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66"/>
      <c r="AQ246" s="6"/>
      <c r="AR246" s="6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7"/>
      <c r="BF246" s="7"/>
      <c r="BG246" s="58"/>
      <c r="BH246" s="58"/>
      <c r="BI246" s="58"/>
      <c r="BJ246" s="58"/>
      <c r="BK246" s="58"/>
      <c r="BL246" s="58"/>
      <c r="BM246" s="58"/>
      <c r="BN246" s="58"/>
      <c r="BO246" s="8"/>
      <c r="BP246" s="8"/>
      <c r="BQ246" s="58"/>
      <c r="BR246" s="58"/>
      <c r="BS246" s="58"/>
      <c r="BT246" s="58"/>
      <c r="BU246" s="59"/>
      <c r="BV246" s="58"/>
      <c r="BW246" s="58"/>
      <c r="BX246" s="58"/>
      <c r="BY246" s="58"/>
      <c r="BZ246" s="60"/>
      <c r="CA246" s="58"/>
      <c r="CB246" s="58"/>
      <c r="CC246" s="58"/>
      <c r="CD246" s="58"/>
      <c r="CE246" s="61"/>
      <c r="CF246" s="58"/>
      <c r="CG246" s="58"/>
      <c r="CH246" s="58"/>
      <c r="CI246" s="58"/>
      <c r="CJ246" s="62"/>
      <c r="CK246" s="58"/>
      <c r="CL246" s="58"/>
      <c r="CM246" s="58"/>
      <c r="CN246" s="58"/>
      <c r="CO246" s="63"/>
      <c r="CP246" s="58"/>
      <c r="CQ246" s="58"/>
      <c r="CR246" s="58"/>
      <c r="CS246" s="58"/>
      <c r="CT246" s="15"/>
      <c r="CU246" s="16"/>
      <c r="CV246" s="16"/>
      <c r="CW246" s="16"/>
      <c r="CX246" s="15"/>
      <c r="CY246" s="16"/>
      <c r="CZ246" s="17"/>
    </row>
    <row r="247" spans="1:104" s="18" customFormat="1" ht="15" customHeight="1">
      <c r="A247" s="64"/>
      <c r="B247" s="66"/>
      <c r="C247" s="43"/>
      <c r="D247" s="57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"/>
      <c r="Z247" s="5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66"/>
      <c r="AQ247" s="6"/>
      <c r="AR247" s="6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7"/>
      <c r="BF247" s="7"/>
      <c r="BG247" s="58"/>
      <c r="BH247" s="58"/>
      <c r="BI247" s="58"/>
      <c r="BJ247" s="58"/>
      <c r="BK247" s="58"/>
      <c r="BL247" s="58"/>
      <c r="BM247" s="58"/>
      <c r="BN247" s="58"/>
      <c r="BO247" s="8"/>
      <c r="BP247" s="8"/>
      <c r="BQ247" s="58"/>
      <c r="BR247" s="58"/>
      <c r="BS247" s="58"/>
      <c r="BT247" s="58"/>
      <c r="BU247" s="59"/>
      <c r="BV247" s="58"/>
      <c r="BW247" s="58"/>
      <c r="BX247" s="58"/>
      <c r="BY247" s="58"/>
      <c r="BZ247" s="60"/>
      <c r="CA247" s="58"/>
      <c r="CB247" s="58"/>
      <c r="CC247" s="58"/>
      <c r="CD247" s="58"/>
      <c r="CE247" s="61"/>
      <c r="CF247" s="58"/>
      <c r="CG247" s="58"/>
      <c r="CH247" s="58"/>
      <c r="CI247" s="58"/>
      <c r="CJ247" s="62"/>
      <c r="CK247" s="58"/>
      <c r="CL247" s="58"/>
      <c r="CM247" s="58"/>
      <c r="CN247" s="58"/>
      <c r="CO247" s="63"/>
      <c r="CP247" s="58"/>
      <c r="CQ247" s="58"/>
      <c r="CR247" s="58"/>
      <c r="CS247" s="58"/>
      <c r="CT247" s="15"/>
      <c r="CU247" s="16"/>
      <c r="CV247" s="16"/>
      <c r="CW247" s="16"/>
      <c r="CX247" s="15"/>
      <c r="CY247" s="16"/>
      <c r="CZ247" s="17"/>
    </row>
    <row r="248" spans="1:104" s="18" customFormat="1" ht="15" customHeight="1">
      <c r="A248" s="64"/>
      <c r="B248" s="67"/>
      <c r="C248" s="43"/>
      <c r="D248" s="57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"/>
      <c r="Z248" s="5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67"/>
      <c r="AQ248" s="6"/>
      <c r="AR248" s="6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7"/>
      <c r="BF248" s="7"/>
      <c r="BG248" s="58"/>
      <c r="BH248" s="58"/>
      <c r="BI248" s="58"/>
      <c r="BJ248" s="58"/>
      <c r="BK248" s="58"/>
      <c r="BL248" s="58"/>
      <c r="BM248" s="58"/>
      <c r="BN248" s="58"/>
      <c r="BO248" s="8"/>
      <c r="BP248" s="8"/>
      <c r="BQ248" s="58"/>
      <c r="BR248" s="58"/>
      <c r="BS248" s="58"/>
      <c r="BT248" s="58"/>
      <c r="BU248" s="59"/>
      <c r="BV248" s="58"/>
      <c r="BW248" s="58"/>
      <c r="BX248" s="58"/>
      <c r="BY248" s="58"/>
      <c r="BZ248" s="60"/>
      <c r="CA248" s="58"/>
      <c r="CB248" s="58"/>
      <c r="CC248" s="58"/>
      <c r="CD248" s="58"/>
      <c r="CE248" s="61"/>
      <c r="CF248" s="58"/>
      <c r="CG248" s="58"/>
      <c r="CH248" s="58"/>
      <c r="CI248" s="58"/>
      <c r="CJ248" s="62"/>
      <c r="CK248" s="58"/>
      <c r="CL248" s="58"/>
      <c r="CM248" s="58"/>
      <c r="CN248" s="58"/>
      <c r="CO248" s="63"/>
      <c r="CP248" s="58"/>
      <c r="CQ248" s="58"/>
      <c r="CR248" s="58"/>
      <c r="CS248" s="58"/>
      <c r="CT248" s="15"/>
      <c r="CU248" s="16"/>
      <c r="CV248" s="16"/>
      <c r="CW248" s="16"/>
      <c r="CX248" s="15"/>
      <c r="CY248" s="16"/>
      <c r="CZ248" s="17"/>
    </row>
    <row r="249" spans="1:104" s="18" customFormat="1" ht="15" customHeight="1">
      <c r="A249" s="64"/>
      <c r="B249" s="66"/>
      <c r="C249" s="43"/>
      <c r="D249" s="57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"/>
      <c r="Z249" s="5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66"/>
      <c r="AQ249" s="6"/>
      <c r="AR249" s="6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7"/>
      <c r="BF249" s="7"/>
      <c r="BG249" s="58"/>
      <c r="BH249" s="58"/>
      <c r="BI249" s="58"/>
      <c r="BJ249" s="58"/>
      <c r="BK249" s="58"/>
      <c r="BL249" s="58"/>
      <c r="BM249" s="58"/>
      <c r="BN249" s="58"/>
      <c r="BO249" s="8"/>
      <c r="BP249" s="8"/>
      <c r="BQ249" s="58"/>
      <c r="BR249" s="58"/>
      <c r="BS249" s="58"/>
      <c r="BT249" s="58"/>
      <c r="BU249" s="59"/>
      <c r="BV249" s="58"/>
      <c r="BW249" s="58"/>
      <c r="BX249" s="58"/>
      <c r="BY249" s="58"/>
      <c r="BZ249" s="60"/>
      <c r="CA249" s="58"/>
      <c r="CB249" s="58"/>
      <c r="CC249" s="58"/>
      <c r="CD249" s="58"/>
      <c r="CE249" s="61"/>
      <c r="CF249" s="58"/>
      <c r="CG249" s="58"/>
      <c r="CH249" s="58"/>
      <c r="CI249" s="58"/>
      <c r="CJ249" s="62"/>
      <c r="CK249" s="58"/>
      <c r="CL249" s="58"/>
      <c r="CM249" s="58"/>
      <c r="CN249" s="58"/>
      <c r="CO249" s="63"/>
      <c r="CP249" s="58"/>
      <c r="CQ249" s="58"/>
      <c r="CR249" s="58"/>
      <c r="CS249" s="58"/>
      <c r="CT249" s="15"/>
      <c r="CU249" s="16"/>
      <c r="CV249" s="16"/>
      <c r="CW249" s="16"/>
      <c r="CX249" s="15"/>
      <c r="CY249" s="16"/>
      <c r="CZ249" s="17"/>
    </row>
    <row r="250" spans="1:104" s="18" customFormat="1" ht="15" customHeight="1">
      <c r="A250" s="64"/>
      <c r="B250" s="66"/>
      <c r="C250" s="43"/>
      <c r="D250" s="57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"/>
      <c r="Z250" s="5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66"/>
      <c r="AQ250" s="6"/>
      <c r="AR250" s="6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7"/>
      <c r="BF250" s="7"/>
      <c r="BG250" s="58"/>
      <c r="BH250" s="58"/>
      <c r="BI250" s="58"/>
      <c r="BJ250" s="58"/>
      <c r="BK250" s="58"/>
      <c r="BL250" s="58"/>
      <c r="BM250" s="58"/>
      <c r="BN250" s="58"/>
      <c r="BO250" s="8"/>
      <c r="BP250" s="8"/>
      <c r="BQ250" s="58"/>
      <c r="BR250" s="58"/>
      <c r="BS250" s="58"/>
      <c r="BT250" s="58"/>
      <c r="BU250" s="59"/>
      <c r="BV250" s="58"/>
      <c r="BW250" s="58"/>
      <c r="BX250" s="58"/>
      <c r="BY250" s="58"/>
      <c r="BZ250" s="60"/>
      <c r="CA250" s="58"/>
      <c r="CB250" s="58"/>
      <c r="CC250" s="58"/>
      <c r="CD250" s="58"/>
      <c r="CE250" s="61"/>
      <c r="CF250" s="58"/>
      <c r="CG250" s="58"/>
      <c r="CH250" s="58"/>
      <c r="CI250" s="58"/>
      <c r="CJ250" s="62"/>
      <c r="CK250" s="58"/>
      <c r="CL250" s="58"/>
      <c r="CM250" s="58"/>
      <c r="CN250" s="58"/>
      <c r="CO250" s="63"/>
      <c r="CP250" s="58"/>
      <c r="CQ250" s="58"/>
      <c r="CR250" s="58"/>
      <c r="CS250" s="58"/>
      <c r="CT250" s="15"/>
      <c r="CU250" s="16"/>
      <c r="CV250" s="16"/>
      <c r="CW250" s="16"/>
      <c r="CX250" s="15"/>
      <c r="CY250" s="16"/>
      <c r="CZ250" s="17"/>
    </row>
    <row r="251" spans="1:104" s="18" customFormat="1" ht="15" customHeight="1">
      <c r="A251" s="64"/>
      <c r="B251" s="65"/>
      <c r="C251" s="43"/>
      <c r="D251" s="57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"/>
      <c r="Z251" s="5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66"/>
      <c r="AQ251" s="6"/>
      <c r="AR251" s="6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"/>
      <c r="BF251" s="7"/>
      <c r="BG251" s="58"/>
      <c r="BH251" s="58"/>
      <c r="BI251" s="58"/>
      <c r="BJ251" s="58"/>
      <c r="BK251" s="58"/>
      <c r="BL251" s="58"/>
      <c r="BM251" s="58"/>
      <c r="BN251" s="58"/>
      <c r="BO251" s="8"/>
      <c r="BP251" s="8"/>
      <c r="BQ251" s="58"/>
      <c r="BR251" s="58"/>
      <c r="BS251" s="58"/>
      <c r="BT251" s="58"/>
      <c r="BU251" s="59"/>
      <c r="BV251" s="58"/>
      <c r="BW251" s="58"/>
      <c r="BX251" s="58"/>
      <c r="BY251" s="58"/>
      <c r="BZ251" s="60"/>
      <c r="CA251" s="58"/>
      <c r="CB251" s="58"/>
      <c r="CC251" s="58"/>
      <c r="CD251" s="58"/>
      <c r="CE251" s="61"/>
      <c r="CF251" s="58"/>
      <c r="CG251" s="58"/>
      <c r="CH251" s="58"/>
      <c r="CI251" s="58"/>
      <c r="CJ251" s="62"/>
      <c r="CK251" s="58"/>
      <c r="CL251" s="58"/>
      <c r="CM251" s="58"/>
      <c r="CN251" s="58"/>
      <c r="CO251" s="63"/>
      <c r="CP251" s="58"/>
      <c r="CQ251" s="58"/>
      <c r="CR251" s="58"/>
      <c r="CS251" s="58"/>
      <c r="CT251" s="15"/>
      <c r="CU251" s="16"/>
      <c r="CV251" s="16"/>
      <c r="CW251" s="16"/>
      <c r="CX251" s="15"/>
      <c r="CY251" s="16"/>
      <c r="CZ251" s="17"/>
    </row>
    <row r="252" spans="1:104" s="18" customFormat="1" ht="15" customHeight="1">
      <c r="A252" s="64"/>
      <c r="B252" s="65"/>
      <c r="C252" s="43"/>
      <c r="D252" s="57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"/>
      <c r="Z252" s="5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66"/>
      <c r="AQ252" s="6"/>
      <c r="AR252" s="6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7"/>
      <c r="BF252" s="7"/>
      <c r="BG252" s="58"/>
      <c r="BH252" s="58"/>
      <c r="BI252" s="58"/>
      <c r="BJ252" s="58"/>
      <c r="BK252" s="58"/>
      <c r="BL252" s="58"/>
      <c r="BM252" s="58"/>
      <c r="BN252" s="58"/>
      <c r="BO252" s="8"/>
      <c r="BP252" s="8"/>
      <c r="BQ252" s="58"/>
      <c r="BR252" s="58"/>
      <c r="BS252" s="58"/>
      <c r="BT252" s="58"/>
      <c r="BU252" s="59"/>
      <c r="BV252" s="58"/>
      <c r="BW252" s="58"/>
      <c r="BX252" s="58"/>
      <c r="BY252" s="58"/>
      <c r="BZ252" s="60"/>
      <c r="CA252" s="58"/>
      <c r="CB252" s="58"/>
      <c r="CC252" s="58"/>
      <c r="CD252" s="58"/>
      <c r="CE252" s="61"/>
      <c r="CF252" s="58"/>
      <c r="CG252" s="58"/>
      <c r="CH252" s="58"/>
      <c r="CI252" s="58"/>
      <c r="CJ252" s="62"/>
      <c r="CK252" s="58"/>
      <c r="CL252" s="58"/>
      <c r="CM252" s="58"/>
      <c r="CN252" s="58"/>
      <c r="CO252" s="63"/>
      <c r="CP252" s="58"/>
      <c r="CQ252" s="58"/>
      <c r="CR252" s="58"/>
      <c r="CS252" s="58"/>
      <c r="CT252" s="15"/>
      <c r="CU252" s="16"/>
      <c r="CV252" s="16"/>
      <c r="CW252" s="16"/>
      <c r="CX252" s="15"/>
      <c r="CY252" s="16"/>
      <c r="CZ252" s="17"/>
    </row>
    <row r="253" spans="1:104" s="18" customFormat="1" ht="15" customHeight="1">
      <c r="A253" s="64"/>
      <c r="B253" s="66"/>
      <c r="C253" s="43"/>
      <c r="D253" s="57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"/>
      <c r="Z253" s="5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66"/>
      <c r="AQ253" s="6"/>
      <c r="AR253" s="6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7"/>
      <c r="BF253" s="7"/>
      <c r="BG253" s="58"/>
      <c r="BH253" s="58"/>
      <c r="BI253" s="58"/>
      <c r="BJ253" s="58"/>
      <c r="BK253" s="58"/>
      <c r="BL253" s="58"/>
      <c r="BM253" s="58"/>
      <c r="BN253" s="58"/>
      <c r="BO253" s="8"/>
      <c r="BP253" s="8"/>
      <c r="BQ253" s="58"/>
      <c r="BR253" s="58"/>
      <c r="BS253" s="58"/>
      <c r="BT253" s="58"/>
      <c r="BU253" s="59"/>
      <c r="BV253" s="58"/>
      <c r="BW253" s="58"/>
      <c r="BX253" s="58"/>
      <c r="BY253" s="58"/>
      <c r="BZ253" s="60"/>
      <c r="CA253" s="58"/>
      <c r="CB253" s="58"/>
      <c r="CC253" s="58"/>
      <c r="CD253" s="58"/>
      <c r="CE253" s="61"/>
      <c r="CF253" s="58"/>
      <c r="CG253" s="58"/>
      <c r="CH253" s="58"/>
      <c r="CI253" s="58"/>
      <c r="CJ253" s="62"/>
      <c r="CK253" s="58"/>
      <c r="CL253" s="58"/>
      <c r="CM253" s="58"/>
      <c r="CN253" s="58"/>
      <c r="CO253" s="63"/>
      <c r="CP253" s="58"/>
      <c r="CQ253" s="58"/>
      <c r="CR253" s="58"/>
      <c r="CS253" s="58"/>
      <c r="CT253" s="15"/>
      <c r="CU253" s="16"/>
      <c r="CV253" s="16"/>
      <c r="CW253" s="16"/>
      <c r="CX253" s="15"/>
      <c r="CY253" s="16"/>
      <c r="CZ253" s="17"/>
    </row>
    <row r="254" spans="1:104" s="18" customFormat="1" ht="15" customHeight="1">
      <c r="A254" s="64"/>
      <c r="B254" s="65"/>
      <c r="C254" s="43"/>
      <c r="D254" s="57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"/>
      <c r="Z254" s="5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66"/>
      <c r="AQ254" s="6"/>
      <c r="AR254" s="6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7"/>
      <c r="BF254" s="7"/>
      <c r="BG254" s="58"/>
      <c r="BH254" s="58"/>
      <c r="BI254" s="58"/>
      <c r="BJ254" s="58"/>
      <c r="BK254" s="58"/>
      <c r="BL254" s="58"/>
      <c r="BM254" s="58"/>
      <c r="BN254" s="58"/>
      <c r="BO254" s="8"/>
      <c r="BP254" s="8"/>
      <c r="BQ254" s="58"/>
      <c r="BR254" s="58"/>
      <c r="BS254" s="58"/>
      <c r="BT254" s="58"/>
      <c r="BU254" s="59"/>
      <c r="BV254" s="58"/>
      <c r="BW254" s="58"/>
      <c r="BX254" s="58"/>
      <c r="BY254" s="58"/>
      <c r="BZ254" s="60"/>
      <c r="CA254" s="58"/>
      <c r="CB254" s="58"/>
      <c r="CC254" s="58"/>
      <c r="CD254" s="58"/>
      <c r="CE254" s="61"/>
      <c r="CF254" s="58"/>
      <c r="CG254" s="58"/>
      <c r="CH254" s="58"/>
      <c r="CI254" s="58"/>
      <c r="CJ254" s="62"/>
      <c r="CK254" s="58"/>
      <c r="CL254" s="58"/>
      <c r="CM254" s="58"/>
      <c r="CN254" s="58"/>
      <c r="CO254" s="63"/>
      <c r="CP254" s="58"/>
      <c r="CQ254" s="58"/>
      <c r="CR254" s="58"/>
      <c r="CS254" s="58"/>
      <c r="CT254" s="15"/>
      <c r="CU254" s="16"/>
      <c r="CV254" s="16"/>
      <c r="CW254" s="16"/>
      <c r="CX254" s="15"/>
      <c r="CY254" s="16"/>
      <c r="CZ254" s="17"/>
    </row>
    <row r="255" spans="1:104" s="18" customFormat="1" ht="15" customHeight="1">
      <c r="A255" s="64"/>
      <c r="B255" s="65"/>
      <c r="C255" s="43"/>
      <c r="D255" s="57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"/>
      <c r="Z255" s="5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66"/>
      <c r="AQ255" s="6"/>
      <c r="AR255" s="6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7"/>
      <c r="BF255" s="7"/>
      <c r="BG255" s="58"/>
      <c r="BH255" s="58"/>
      <c r="BI255" s="58"/>
      <c r="BJ255" s="58"/>
      <c r="BK255" s="58"/>
      <c r="BL255" s="58"/>
      <c r="BM255" s="58"/>
      <c r="BN255" s="58"/>
      <c r="BO255" s="8"/>
      <c r="BP255" s="8"/>
      <c r="BQ255" s="58"/>
      <c r="BR255" s="58"/>
      <c r="BS255" s="58"/>
      <c r="BT255" s="58"/>
      <c r="BU255" s="59"/>
      <c r="BV255" s="58"/>
      <c r="BW255" s="58"/>
      <c r="BX255" s="58"/>
      <c r="BY255" s="58"/>
      <c r="BZ255" s="60"/>
      <c r="CA255" s="58"/>
      <c r="CB255" s="58"/>
      <c r="CC255" s="58"/>
      <c r="CD255" s="58"/>
      <c r="CE255" s="61"/>
      <c r="CF255" s="58"/>
      <c r="CG255" s="58"/>
      <c r="CH255" s="58"/>
      <c r="CI255" s="58"/>
      <c r="CJ255" s="62"/>
      <c r="CK255" s="58"/>
      <c r="CL255" s="58"/>
      <c r="CM255" s="58"/>
      <c r="CN255" s="58"/>
      <c r="CO255" s="63"/>
      <c r="CP255" s="58"/>
      <c r="CQ255" s="58"/>
      <c r="CR255" s="58"/>
      <c r="CS255" s="58"/>
      <c r="CT255" s="15"/>
      <c r="CU255" s="16"/>
      <c r="CV255" s="16"/>
      <c r="CW255" s="16"/>
      <c r="CX255" s="15"/>
      <c r="CY255" s="16"/>
      <c r="CZ255" s="17"/>
    </row>
    <row r="256" spans="1:104" s="18" customFormat="1" ht="15" customHeight="1">
      <c r="A256" s="64"/>
      <c r="B256" s="66"/>
      <c r="C256" s="43"/>
      <c r="D256" s="57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"/>
      <c r="Z256" s="5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66"/>
      <c r="AQ256" s="6"/>
      <c r="AR256" s="6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7"/>
      <c r="BF256" s="7"/>
      <c r="BG256" s="58"/>
      <c r="BH256" s="58"/>
      <c r="BI256" s="58"/>
      <c r="BJ256" s="58"/>
      <c r="BK256" s="58"/>
      <c r="BL256" s="58"/>
      <c r="BM256" s="58"/>
      <c r="BN256" s="58"/>
      <c r="BO256" s="8"/>
      <c r="BP256" s="8"/>
      <c r="BQ256" s="58"/>
      <c r="BR256" s="58"/>
      <c r="BS256" s="58"/>
      <c r="BT256" s="58"/>
      <c r="BU256" s="59"/>
      <c r="BV256" s="58"/>
      <c r="BW256" s="58"/>
      <c r="BX256" s="58"/>
      <c r="BY256" s="58"/>
      <c r="BZ256" s="60"/>
      <c r="CA256" s="58"/>
      <c r="CB256" s="58"/>
      <c r="CC256" s="58"/>
      <c r="CD256" s="58"/>
      <c r="CE256" s="61"/>
      <c r="CF256" s="58"/>
      <c r="CG256" s="58"/>
      <c r="CH256" s="58"/>
      <c r="CI256" s="58"/>
      <c r="CJ256" s="62"/>
      <c r="CK256" s="58"/>
      <c r="CL256" s="58"/>
      <c r="CM256" s="58"/>
      <c r="CN256" s="58"/>
      <c r="CO256" s="63"/>
      <c r="CP256" s="58"/>
      <c r="CQ256" s="58"/>
      <c r="CR256" s="58"/>
      <c r="CS256" s="58"/>
      <c r="CT256" s="15"/>
      <c r="CU256" s="16"/>
      <c r="CV256" s="16"/>
      <c r="CW256" s="16"/>
      <c r="CX256" s="15"/>
      <c r="CY256" s="16"/>
      <c r="CZ256" s="17"/>
    </row>
    <row r="257" spans="1:104" s="18" customFormat="1" ht="15" customHeight="1">
      <c r="A257" s="64"/>
      <c r="B257" s="65"/>
      <c r="C257" s="43"/>
      <c r="D257" s="57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"/>
      <c r="Z257" s="5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66"/>
      <c r="AQ257" s="6"/>
      <c r="AR257" s="6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7"/>
      <c r="BF257" s="7"/>
      <c r="BG257" s="58"/>
      <c r="BH257" s="58"/>
      <c r="BI257" s="58"/>
      <c r="BJ257" s="58"/>
      <c r="BK257" s="58"/>
      <c r="BL257" s="58"/>
      <c r="BM257" s="58"/>
      <c r="BN257" s="58"/>
      <c r="BO257" s="8"/>
      <c r="BP257" s="8"/>
      <c r="BQ257" s="58"/>
      <c r="BR257" s="58"/>
      <c r="BS257" s="58"/>
      <c r="BT257" s="58"/>
      <c r="BU257" s="59"/>
      <c r="BV257" s="58"/>
      <c r="BW257" s="58"/>
      <c r="BX257" s="58"/>
      <c r="BY257" s="58"/>
      <c r="BZ257" s="60"/>
      <c r="CA257" s="58"/>
      <c r="CB257" s="58"/>
      <c r="CC257" s="58"/>
      <c r="CD257" s="58"/>
      <c r="CE257" s="61"/>
      <c r="CF257" s="58"/>
      <c r="CG257" s="58"/>
      <c r="CH257" s="58"/>
      <c r="CI257" s="58"/>
      <c r="CJ257" s="62"/>
      <c r="CK257" s="58"/>
      <c r="CL257" s="58"/>
      <c r="CM257" s="58"/>
      <c r="CN257" s="58"/>
      <c r="CO257" s="63"/>
      <c r="CP257" s="58"/>
      <c r="CQ257" s="58"/>
      <c r="CR257" s="58"/>
      <c r="CS257" s="58"/>
      <c r="CT257" s="15"/>
      <c r="CU257" s="16"/>
      <c r="CV257" s="16"/>
      <c r="CW257" s="16"/>
      <c r="CX257" s="15"/>
      <c r="CY257" s="16"/>
      <c r="CZ257" s="17"/>
    </row>
    <row r="258" spans="1:104" s="18" customFormat="1" ht="15" customHeight="1">
      <c r="A258" s="64"/>
      <c r="B258" s="66"/>
      <c r="C258" s="43"/>
      <c r="D258" s="57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"/>
      <c r="Z258" s="5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66"/>
      <c r="AQ258" s="6"/>
      <c r="AR258" s="6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7"/>
      <c r="BF258" s="7"/>
      <c r="BG258" s="58"/>
      <c r="BH258" s="58"/>
      <c r="BI258" s="58"/>
      <c r="BJ258" s="58"/>
      <c r="BK258" s="58"/>
      <c r="BL258" s="58"/>
      <c r="BM258" s="58"/>
      <c r="BN258" s="58"/>
      <c r="BO258" s="8"/>
      <c r="BP258" s="8"/>
      <c r="BQ258" s="58"/>
      <c r="BR258" s="58"/>
      <c r="BS258" s="58"/>
      <c r="BT258" s="58"/>
      <c r="BU258" s="59"/>
      <c r="BV258" s="58"/>
      <c r="BW258" s="58"/>
      <c r="BX258" s="58"/>
      <c r="BY258" s="58"/>
      <c r="BZ258" s="60"/>
      <c r="CA258" s="58"/>
      <c r="CB258" s="58"/>
      <c r="CC258" s="58"/>
      <c r="CD258" s="58"/>
      <c r="CE258" s="61"/>
      <c r="CF258" s="58"/>
      <c r="CG258" s="58"/>
      <c r="CH258" s="58"/>
      <c r="CI258" s="58"/>
      <c r="CJ258" s="62"/>
      <c r="CK258" s="58"/>
      <c r="CL258" s="58"/>
      <c r="CM258" s="58"/>
      <c r="CN258" s="58"/>
      <c r="CO258" s="63"/>
      <c r="CP258" s="58"/>
      <c r="CQ258" s="58"/>
      <c r="CR258" s="58"/>
      <c r="CS258" s="58"/>
      <c r="CT258" s="15"/>
      <c r="CU258" s="16"/>
      <c r="CV258" s="16"/>
      <c r="CW258" s="16"/>
      <c r="CX258" s="15"/>
      <c r="CY258" s="16"/>
      <c r="CZ258" s="17"/>
    </row>
    <row r="259" spans="1:104" s="18" customFormat="1" ht="15" customHeight="1">
      <c r="A259" s="64"/>
      <c r="B259" s="66"/>
      <c r="C259" s="43"/>
      <c r="D259" s="57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"/>
      <c r="Z259" s="5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66"/>
      <c r="AQ259" s="6"/>
      <c r="AR259" s="6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7"/>
      <c r="BF259" s="7"/>
      <c r="BG259" s="58"/>
      <c r="BH259" s="58"/>
      <c r="BI259" s="58"/>
      <c r="BJ259" s="58"/>
      <c r="BK259" s="58"/>
      <c r="BL259" s="58"/>
      <c r="BM259" s="58"/>
      <c r="BN259" s="58"/>
      <c r="BO259" s="8"/>
      <c r="BP259" s="8"/>
      <c r="BQ259" s="58"/>
      <c r="BR259" s="58"/>
      <c r="BS259" s="58"/>
      <c r="BT259" s="58"/>
      <c r="BU259" s="59"/>
      <c r="BV259" s="58"/>
      <c r="BW259" s="58"/>
      <c r="BX259" s="58"/>
      <c r="BY259" s="58"/>
      <c r="BZ259" s="60"/>
      <c r="CA259" s="58"/>
      <c r="CB259" s="58"/>
      <c r="CC259" s="58"/>
      <c r="CD259" s="58"/>
      <c r="CE259" s="61"/>
      <c r="CF259" s="58"/>
      <c r="CG259" s="58"/>
      <c r="CH259" s="58"/>
      <c r="CI259" s="58"/>
      <c r="CJ259" s="62"/>
      <c r="CK259" s="58"/>
      <c r="CL259" s="58"/>
      <c r="CM259" s="58"/>
      <c r="CN259" s="58"/>
      <c r="CO259" s="63"/>
      <c r="CP259" s="58"/>
      <c r="CQ259" s="58"/>
      <c r="CR259" s="58"/>
      <c r="CS259" s="58"/>
      <c r="CT259" s="15"/>
      <c r="CU259" s="16"/>
      <c r="CV259" s="16"/>
      <c r="CW259" s="16"/>
      <c r="CX259" s="15"/>
      <c r="CY259" s="16"/>
      <c r="CZ259" s="17"/>
    </row>
    <row r="260" spans="1:104" s="18" customFormat="1" ht="15" customHeight="1">
      <c r="A260" s="64"/>
      <c r="B260" s="66"/>
      <c r="C260" s="43"/>
      <c r="D260" s="57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"/>
      <c r="Z260" s="5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66"/>
      <c r="AQ260" s="6"/>
      <c r="AR260" s="6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"/>
      <c r="BF260" s="7"/>
      <c r="BG260" s="58"/>
      <c r="BH260" s="58"/>
      <c r="BI260" s="58"/>
      <c r="BJ260" s="58"/>
      <c r="BK260" s="58"/>
      <c r="BL260" s="58"/>
      <c r="BM260" s="58"/>
      <c r="BN260" s="58"/>
      <c r="BO260" s="8"/>
      <c r="BP260" s="8"/>
      <c r="BQ260" s="58"/>
      <c r="BR260" s="58"/>
      <c r="BS260" s="58"/>
      <c r="BT260" s="58"/>
      <c r="BU260" s="59"/>
      <c r="BV260" s="58"/>
      <c r="BW260" s="58"/>
      <c r="BX260" s="58"/>
      <c r="BY260" s="58"/>
      <c r="BZ260" s="60"/>
      <c r="CA260" s="58"/>
      <c r="CB260" s="58"/>
      <c r="CC260" s="58"/>
      <c r="CD260" s="58"/>
      <c r="CE260" s="61"/>
      <c r="CF260" s="58"/>
      <c r="CG260" s="58"/>
      <c r="CH260" s="58"/>
      <c r="CI260" s="58"/>
      <c r="CJ260" s="62"/>
      <c r="CK260" s="58"/>
      <c r="CL260" s="58"/>
      <c r="CM260" s="58"/>
      <c r="CN260" s="58"/>
      <c r="CO260" s="63"/>
      <c r="CP260" s="58"/>
      <c r="CQ260" s="58"/>
      <c r="CR260" s="58"/>
      <c r="CS260" s="58"/>
      <c r="CT260" s="15"/>
      <c r="CU260" s="16"/>
      <c r="CV260" s="16"/>
      <c r="CW260" s="16"/>
      <c r="CX260" s="15"/>
      <c r="CY260" s="16"/>
      <c r="CZ260" s="17"/>
    </row>
    <row r="261" spans="1:104" s="18" customFormat="1" ht="15" customHeight="1">
      <c r="A261" s="64"/>
      <c r="B261" s="65"/>
      <c r="C261" s="43"/>
      <c r="D261" s="57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"/>
      <c r="Z261" s="5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66"/>
      <c r="AQ261" s="6"/>
      <c r="AR261" s="6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7"/>
      <c r="BF261" s="7"/>
      <c r="BG261" s="58"/>
      <c r="BH261" s="58"/>
      <c r="BI261" s="58"/>
      <c r="BJ261" s="58"/>
      <c r="BK261" s="58"/>
      <c r="BL261" s="58"/>
      <c r="BM261" s="58"/>
      <c r="BN261" s="58"/>
      <c r="BO261" s="8"/>
      <c r="BP261" s="8"/>
      <c r="BQ261" s="58"/>
      <c r="BR261" s="58"/>
      <c r="BS261" s="58"/>
      <c r="BT261" s="58"/>
      <c r="BU261" s="59"/>
      <c r="BV261" s="58"/>
      <c r="BW261" s="58"/>
      <c r="BX261" s="58"/>
      <c r="BY261" s="58"/>
      <c r="BZ261" s="60"/>
      <c r="CA261" s="58"/>
      <c r="CB261" s="58"/>
      <c r="CC261" s="58"/>
      <c r="CD261" s="58"/>
      <c r="CE261" s="61"/>
      <c r="CF261" s="58"/>
      <c r="CG261" s="58"/>
      <c r="CH261" s="58"/>
      <c r="CI261" s="58"/>
      <c r="CJ261" s="62"/>
      <c r="CK261" s="58"/>
      <c r="CL261" s="58"/>
      <c r="CM261" s="58"/>
      <c r="CN261" s="58"/>
      <c r="CO261" s="63"/>
      <c r="CP261" s="58"/>
      <c r="CQ261" s="58"/>
      <c r="CR261" s="58"/>
      <c r="CS261" s="58"/>
      <c r="CT261" s="15"/>
      <c r="CU261" s="16"/>
      <c r="CV261" s="16"/>
      <c r="CW261" s="16"/>
      <c r="CX261" s="15"/>
      <c r="CY261" s="16"/>
      <c r="CZ261" s="17"/>
    </row>
    <row r="262" spans="1:104" s="18" customFormat="1" ht="15" customHeight="1">
      <c r="A262" s="64"/>
      <c r="B262" s="66"/>
      <c r="C262" s="43"/>
      <c r="D262" s="57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"/>
      <c r="Z262" s="5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66"/>
      <c r="AQ262" s="6"/>
      <c r="AR262" s="6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7"/>
      <c r="BF262" s="7"/>
      <c r="BG262" s="58"/>
      <c r="BH262" s="58"/>
      <c r="BI262" s="58"/>
      <c r="BJ262" s="58"/>
      <c r="BK262" s="58"/>
      <c r="BL262" s="58"/>
      <c r="BM262" s="58"/>
      <c r="BN262" s="58"/>
      <c r="BO262" s="8"/>
      <c r="BP262" s="8"/>
      <c r="BQ262" s="58"/>
      <c r="BR262" s="58"/>
      <c r="BS262" s="58"/>
      <c r="BT262" s="58"/>
      <c r="BU262" s="59"/>
      <c r="BV262" s="58"/>
      <c r="BW262" s="58"/>
      <c r="BX262" s="58"/>
      <c r="BY262" s="58"/>
      <c r="BZ262" s="60"/>
      <c r="CA262" s="58"/>
      <c r="CB262" s="58"/>
      <c r="CC262" s="58"/>
      <c r="CD262" s="58"/>
      <c r="CE262" s="61"/>
      <c r="CF262" s="58"/>
      <c r="CG262" s="58"/>
      <c r="CH262" s="58"/>
      <c r="CI262" s="58"/>
      <c r="CJ262" s="62"/>
      <c r="CK262" s="58"/>
      <c r="CL262" s="58"/>
      <c r="CM262" s="58"/>
      <c r="CN262" s="58"/>
      <c r="CO262" s="63"/>
      <c r="CP262" s="58"/>
      <c r="CQ262" s="58"/>
      <c r="CR262" s="58"/>
      <c r="CS262" s="58"/>
      <c r="CT262" s="15"/>
      <c r="CU262" s="16"/>
      <c r="CV262" s="16"/>
      <c r="CW262" s="16"/>
      <c r="CX262" s="15"/>
      <c r="CY262" s="16"/>
      <c r="CZ262" s="17"/>
    </row>
    <row r="263" spans="1:104" s="18" customFormat="1" ht="15" customHeight="1">
      <c r="A263" s="64"/>
      <c r="B263" s="66"/>
      <c r="C263" s="43"/>
      <c r="D263" s="57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"/>
      <c r="Z263" s="5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66"/>
      <c r="AQ263" s="6"/>
      <c r="AR263" s="6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7"/>
      <c r="BF263" s="7"/>
      <c r="BG263" s="58"/>
      <c r="BH263" s="58"/>
      <c r="BI263" s="58"/>
      <c r="BJ263" s="58"/>
      <c r="BK263" s="58"/>
      <c r="BL263" s="58"/>
      <c r="BM263" s="58"/>
      <c r="BN263" s="58"/>
      <c r="BO263" s="8"/>
      <c r="BP263" s="8"/>
      <c r="BQ263" s="58"/>
      <c r="BR263" s="58"/>
      <c r="BS263" s="58"/>
      <c r="BT263" s="58"/>
      <c r="BU263" s="59"/>
      <c r="BV263" s="58"/>
      <c r="BW263" s="58"/>
      <c r="BX263" s="58"/>
      <c r="BY263" s="58"/>
      <c r="BZ263" s="60"/>
      <c r="CA263" s="58"/>
      <c r="CB263" s="58"/>
      <c r="CC263" s="58"/>
      <c r="CD263" s="58"/>
      <c r="CE263" s="61"/>
      <c r="CF263" s="58"/>
      <c r="CG263" s="58"/>
      <c r="CH263" s="58"/>
      <c r="CI263" s="58"/>
      <c r="CJ263" s="62"/>
      <c r="CK263" s="58"/>
      <c r="CL263" s="58"/>
      <c r="CM263" s="58"/>
      <c r="CN263" s="58"/>
      <c r="CO263" s="63"/>
      <c r="CP263" s="58"/>
      <c r="CQ263" s="58"/>
      <c r="CR263" s="58"/>
      <c r="CS263" s="58"/>
      <c r="CT263" s="15"/>
      <c r="CU263" s="16"/>
      <c r="CV263" s="16"/>
      <c r="CW263" s="16"/>
      <c r="CX263" s="15"/>
      <c r="CY263" s="16"/>
      <c r="CZ263" s="17"/>
    </row>
    <row r="264" spans="1:104" s="18" customFormat="1" ht="15" customHeight="1">
      <c r="A264" s="64"/>
      <c r="B264" s="68"/>
      <c r="C264" s="43"/>
      <c r="D264" s="57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"/>
      <c r="Z264" s="5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68"/>
      <c r="AQ264" s="6"/>
      <c r="AR264" s="6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7"/>
      <c r="BF264" s="7"/>
      <c r="BG264" s="58"/>
      <c r="BH264" s="58"/>
      <c r="BI264" s="58"/>
      <c r="BJ264" s="58"/>
      <c r="BK264" s="58"/>
      <c r="BL264" s="58"/>
      <c r="BM264" s="58"/>
      <c r="BN264" s="58"/>
      <c r="BO264" s="8"/>
      <c r="BP264" s="8"/>
      <c r="BQ264" s="58"/>
      <c r="BR264" s="58"/>
      <c r="BS264" s="58"/>
      <c r="BT264" s="58"/>
      <c r="BU264" s="59"/>
      <c r="BV264" s="58"/>
      <c r="BW264" s="58"/>
      <c r="BX264" s="58"/>
      <c r="BY264" s="58"/>
      <c r="BZ264" s="60"/>
      <c r="CA264" s="58"/>
      <c r="CB264" s="58"/>
      <c r="CC264" s="58"/>
      <c r="CD264" s="58"/>
      <c r="CE264" s="61"/>
      <c r="CF264" s="58"/>
      <c r="CG264" s="58"/>
      <c r="CH264" s="58"/>
      <c r="CI264" s="58"/>
      <c r="CJ264" s="62"/>
      <c r="CK264" s="58"/>
      <c r="CL264" s="58"/>
      <c r="CM264" s="58"/>
      <c r="CN264" s="58"/>
      <c r="CO264" s="63"/>
      <c r="CP264" s="58"/>
      <c r="CQ264" s="58"/>
      <c r="CR264" s="58"/>
      <c r="CS264" s="58"/>
      <c r="CT264" s="15"/>
      <c r="CU264" s="16"/>
      <c r="CV264" s="16"/>
      <c r="CW264" s="16"/>
      <c r="CX264" s="15"/>
      <c r="CY264" s="16"/>
      <c r="CZ264" s="17"/>
    </row>
    <row r="265" spans="1:104" s="18" customFormat="1" ht="15" customHeight="1">
      <c r="A265" s="64"/>
      <c r="B265" s="66"/>
      <c r="C265" s="43"/>
      <c r="D265" s="57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"/>
      <c r="Z265" s="5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66"/>
      <c r="AQ265" s="6"/>
      <c r="AR265" s="6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7"/>
      <c r="BF265" s="7"/>
      <c r="BG265" s="58"/>
      <c r="BH265" s="58"/>
      <c r="BI265" s="58"/>
      <c r="BJ265" s="58"/>
      <c r="BK265" s="58"/>
      <c r="BL265" s="58"/>
      <c r="BM265" s="58"/>
      <c r="BN265" s="58"/>
      <c r="BO265" s="8"/>
      <c r="BP265" s="8"/>
      <c r="BQ265" s="58"/>
      <c r="BR265" s="58"/>
      <c r="BS265" s="58"/>
      <c r="BT265" s="58"/>
      <c r="BU265" s="59"/>
      <c r="BV265" s="58"/>
      <c r="BW265" s="58"/>
      <c r="BX265" s="58"/>
      <c r="BY265" s="58"/>
      <c r="BZ265" s="60"/>
      <c r="CA265" s="58"/>
      <c r="CB265" s="58"/>
      <c r="CC265" s="58"/>
      <c r="CD265" s="58"/>
      <c r="CE265" s="61"/>
      <c r="CF265" s="58"/>
      <c r="CG265" s="58"/>
      <c r="CH265" s="58"/>
      <c r="CI265" s="58"/>
      <c r="CJ265" s="62"/>
      <c r="CK265" s="58"/>
      <c r="CL265" s="58"/>
      <c r="CM265" s="58"/>
      <c r="CN265" s="58"/>
      <c r="CO265" s="63"/>
      <c r="CP265" s="58"/>
      <c r="CQ265" s="58"/>
      <c r="CR265" s="58"/>
      <c r="CS265" s="58"/>
      <c r="CT265" s="15"/>
      <c r="CU265" s="16"/>
      <c r="CV265" s="16"/>
      <c r="CW265" s="16"/>
      <c r="CX265" s="15"/>
      <c r="CY265" s="16"/>
      <c r="CZ265" s="17"/>
    </row>
    <row r="266" spans="1:104" s="18" customFormat="1" ht="15" customHeight="1">
      <c r="A266" s="64"/>
      <c r="B266" s="69"/>
      <c r="C266" s="43"/>
      <c r="D266" s="57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"/>
      <c r="Z266" s="5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67"/>
      <c r="AQ266" s="6"/>
      <c r="AR266" s="6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7"/>
      <c r="BF266" s="7"/>
      <c r="BG266" s="58"/>
      <c r="BH266" s="58"/>
      <c r="BI266" s="58"/>
      <c r="BJ266" s="58"/>
      <c r="BK266" s="58"/>
      <c r="BL266" s="58"/>
      <c r="BM266" s="58"/>
      <c r="BN266" s="58"/>
      <c r="BO266" s="8"/>
      <c r="BP266" s="8"/>
      <c r="BQ266" s="58"/>
      <c r="BR266" s="58"/>
      <c r="BS266" s="58"/>
      <c r="BT266" s="58"/>
      <c r="BU266" s="59"/>
      <c r="BV266" s="58"/>
      <c r="BW266" s="58"/>
      <c r="BX266" s="58"/>
      <c r="BY266" s="58"/>
      <c r="BZ266" s="60"/>
      <c r="CA266" s="58"/>
      <c r="CB266" s="58"/>
      <c r="CC266" s="58"/>
      <c r="CD266" s="58"/>
      <c r="CE266" s="61"/>
      <c r="CF266" s="58"/>
      <c r="CG266" s="58"/>
      <c r="CH266" s="58"/>
      <c r="CI266" s="58"/>
      <c r="CJ266" s="62"/>
      <c r="CK266" s="58"/>
      <c r="CL266" s="58"/>
      <c r="CM266" s="58"/>
      <c r="CN266" s="58"/>
      <c r="CO266" s="63"/>
      <c r="CP266" s="58"/>
      <c r="CQ266" s="58"/>
      <c r="CR266" s="58"/>
      <c r="CS266" s="58"/>
      <c r="CT266" s="15"/>
      <c r="CU266" s="16"/>
      <c r="CV266" s="16"/>
      <c r="CW266" s="16"/>
      <c r="CX266" s="15"/>
      <c r="CY266" s="16"/>
      <c r="CZ266" s="17"/>
    </row>
    <row r="267" spans="1:104" s="18" customFormat="1" ht="15" customHeight="1">
      <c r="A267" s="64"/>
      <c r="B267" s="70"/>
      <c r="C267" s="43"/>
      <c r="D267" s="57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"/>
      <c r="Z267" s="5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68"/>
      <c r="AQ267" s="6"/>
      <c r="AR267" s="6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7"/>
      <c r="BF267" s="7"/>
      <c r="BG267" s="58"/>
      <c r="BH267" s="58"/>
      <c r="BI267" s="58"/>
      <c r="BJ267" s="58"/>
      <c r="BK267" s="58"/>
      <c r="BL267" s="58"/>
      <c r="BM267" s="58"/>
      <c r="BN267" s="58"/>
      <c r="BO267" s="8"/>
      <c r="BP267" s="8"/>
      <c r="BQ267" s="58"/>
      <c r="BR267" s="58"/>
      <c r="BS267" s="58"/>
      <c r="BT267" s="58"/>
      <c r="BU267" s="59"/>
      <c r="BV267" s="58"/>
      <c r="BW267" s="58"/>
      <c r="BX267" s="58"/>
      <c r="BY267" s="58"/>
      <c r="BZ267" s="60"/>
      <c r="CA267" s="58"/>
      <c r="CB267" s="58"/>
      <c r="CC267" s="58"/>
      <c r="CD267" s="58"/>
      <c r="CE267" s="61"/>
      <c r="CF267" s="58"/>
      <c r="CG267" s="58"/>
      <c r="CH267" s="58"/>
      <c r="CI267" s="58"/>
      <c r="CJ267" s="62"/>
      <c r="CK267" s="58"/>
      <c r="CL267" s="58"/>
      <c r="CM267" s="58"/>
      <c r="CN267" s="58"/>
      <c r="CO267" s="63"/>
      <c r="CP267" s="58"/>
      <c r="CQ267" s="58"/>
      <c r="CR267" s="58"/>
      <c r="CS267" s="58"/>
      <c r="CT267" s="15"/>
      <c r="CU267" s="16"/>
      <c r="CV267" s="16"/>
      <c r="CW267" s="16"/>
      <c r="CX267" s="15"/>
      <c r="CY267" s="16"/>
      <c r="CZ267" s="17"/>
    </row>
    <row r="268" spans="1:104" s="18" customFormat="1" ht="15" customHeight="1">
      <c r="A268" s="64"/>
      <c r="B268" s="66"/>
      <c r="C268" s="43"/>
      <c r="D268" s="57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"/>
      <c r="Z268" s="5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66"/>
      <c r="AQ268" s="6"/>
      <c r="AR268" s="6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7"/>
      <c r="BF268" s="7"/>
      <c r="BG268" s="58"/>
      <c r="BH268" s="58"/>
      <c r="BI268" s="58"/>
      <c r="BJ268" s="58"/>
      <c r="BK268" s="58"/>
      <c r="BL268" s="58"/>
      <c r="BM268" s="58"/>
      <c r="BN268" s="58"/>
      <c r="BO268" s="8"/>
      <c r="BP268" s="8"/>
      <c r="BQ268" s="58"/>
      <c r="BR268" s="58"/>
      <c r="BS268" s="58"/>
      <c r="BT268" s="58"/>
      <c r="BU268" s="59"/>
      <c r="BV268" s="58"/>
      <c r="BW268" s="58"/>
      <c r="BX268" s="58"/>
      <c r="BY268" s="58"/>
      <c r="BZ268" s="60"/>
      <c r="CA268" s="58"/>
      <c r="CB268" s="58"/>
      <c r="CC268" s="58"/>
      <c r="CD268" s="58"/>
      <c r="CE268" s="61"/>
      <c r="CF268" s="58"/>
      <c r="CG268" s="58"/>
      <c r="CH268" s="58"/>
      <c r="CI268" s="58"/>
      <c r="CJ268" s="62"/>
      <c r="CK268" s="58"/>
      <c r="CL268" s="58"/>
      <c r="CM268" s="58"/>
      <c r="CN268" s="58"/>
      <c r="CO268" s="63"/>
      <c r="CP268" s="58"/>
      <c r="CQ268" s="58"/>
      <c r="CR268" s="58"/>
      <c r="CS268" s="58"/>
      <c r="CT268" s="15"/>
      <c r="CU268" s="16"/>
      <c r="CV268" s="16"/>
      <c r="CW268" s="16"/>
      <c r="CX268" s="15"/>
      <c r="CY268" s="16"/>
      <c r="CZ268" s="17"/>
    </row>
    <row r="269" spans="1:104" s="18" customFormat="1" ht="15" customHeight="1">
      <c r="A269" s="64"/>
      <c r="B269" s="65"/>
      <c r="C269" s="43"/>
      <c r="D269" s="57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"/>
      <c r="Z269" s="5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66"/>
      <c r="AQ269" s="6"/>
      <c r="AR269" s="6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7"/>
      <c r="BF269" s="7"/>
      <c r="BG269" s="58"/>
      <c r="BH269" s="58"/>
      <c r="BI269" s="58"/>
      <c r="BJ269" s="58"/>
      <c r="BK269" s="58"/>
      <c r="BL269" s="58"/>
      <c r="BM269" s="58"/>
      <c r="BN269" s="58"/>
      <c r="BO269" s="8"/>
      <c r="BP269" s="8"/>
      <c r="BQ269" s="58"/>
      <c r="BR269" s="58"/>
      <c r="BS269" s="58"/>
      <c r="BT269" s="58"/>
      <c r="BU269" s="59"/>
      <c r="BV269" s="58"/>
      <c r="BW269" s="58"/>
      <c r="BX269" s="58"/>
      <c r="BY269" s="58"/>
      <c r="BZ269" s="60"/>
      <c r="CA269" s="58"/>
      <c r="CB269" s="58"/>
      <c r="CC269" s="58"/>
      <c r="CD269" s="58"/>
      <c r="CE269" s="61"/>
      <c r="CF269" s="58"/>
      <c r="CG269" s="58"/>
      <c r="CH269" s="58"/>
      <c r="CI269" s="58"/>
      <c r="CJ269" s="62"/>
      <c r="CK269" s="58"/>
      <c r="CL269" s="58"/>
      <c r="CM269" s="58"/>
      <c r="CN269" s="58"/>
      <c r="CO269" s="63"/>
      <c r="CP269" s="58"/>
      <c r="CQ269" s="58"/>
      <c r="CR269" s="58"/>
      <c r="CS269" s="58"/>
      <c r="CT269" s="15"/>
      <c r="CU269" s="16"/>
      <c r="CV269" s="16"/>
      <c r="CW269" s="16"/>
      <c r="CX269" s="15"/>
      <c r="CY269" s="16"/>
      <c r="CZ269" s="17"/>
    </row>
    <row r="270" spans="1:104" s="18" customFormat="1" ht="15" customHeight="1">
      <c r="A270" s="64"/>
      <c r="B270" s="65"/>
      <c r="C270" s="43"/>
      <c r="D270" s="57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"/>
      <c r="Z270" s="5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66"/>
      <c r="AQ270" s="6"/>
      <c r="AR270" s="6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7"/>
      <c r="BF270" s="7"/>
      <c r="BG270" s="58"/>
      <c r="BH270" s="58"/>
      <c r="BI270" s="58"/>
      <c r="BJ270" s="58"/>
      <c r="BK270" s="58"/>
      <c r="BL270" s="58"/>
      <c r="BM270" s="58"/>
      <c r="BN270" s="58"/>
      <c r="BO270" s="8"/>
      <c r="BP270" s="8"/>
      <c r="BQ270" s="58"/>
      <c r="BR270" s="58"/>
      <c r="BS270" s="58"/>
      <c r="BT270" s="58"/>
      <c r="BU270" s="59"/>
      <c r="BV270" s="58"/>
      <c r="BW270" s="58"/>
      <c r="BX270" s="58"/>
      <c r="BY270" s="58"/>
      <c r="BZ270" s="60"/>
      <c r="CA270" s="58"/>
      <c r="CB270" s="58"/>
      <c r="CC270" s="58"/>
      <c r="CD270" s="58"/>
      <c r="CE270" s="61"/>
      <c r="CF270" s="58"/>
      <c r="CG270" s="58"/>
      <c r="CH270" s="58"/>
      <c r="CI270" s="58"/>
      <c r="CJ270" s="62"/>
      <c r="CK270" s="58"/>
      <c r="CL270" s="58"/>
      <c r="CM270" s="58"/>
      <c r="CN270" s="58"/>
      <c r="CO270" s="63"/>
      <c r="CP270" s="58"/>
      <c r="CQ270" s="58"/>
      <c r="CR270" s="58"/>
      <c r="CS270" s="58"/>
      <c r="CT270" s="15"/>
      <c r="CU270" s="16"/>
      <c r="CV270" s="16"/>
      <c r="CW270" s="16"/>
      <c r="CX270" s="15"/>
      <c r="CY270" s="16"/>
      <c r="CZ270" s="17"/>
    </row>
    <row r="271" spans="1:104" s="18" customFormat="1" ht="14.25" customHeight="1">
      <c r="A271" s="64"/>
      <c r="B271" s="65"/>
      <c r="C271" s="43"/>
      <c r="D271" s="57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"/>
      <c r="Z271" s="5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66"/>
      <c r="AQ271" s="6"/>
      <c r="AR271" s="6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7"/>
      <c r="BF271" s="7"/>
      <c r="BG271" s="58"/>
      <c r="BH271" s="58"/>
      <c r="BI271" s="58"/>
      <c r="BJ271" s="58"/>
      <c r="BK271" s="58"/>
      <c r="BL271" s="58"/>
      <c r="BM271" s="58"/>
      <c r="BN271" s="58"/>
      <c r="BO271" s="8"/>
      <c r="BP271" s="8"/>
      <c r="BQ271" s="58"/>
      <c r="BR271" s="58"/>
      <c r="BS271" s="58"/>
      <c r="BT271" s="58"/>
      <c r="BU271" s="59"/>
      <c r="BV271" s="58"/>
      <c r="BW271" s="58"/>
      <c r="BX271" s="58"/>
      <c r="BY271" s="58"/>
      <c r="BZ271" s="60"/>
      <c r="CA271" s="58"/>
      <c r="CB271" s="58"/>
      <c r="CC271" s="58"/>
      <c r="CD271" s="58"/>
      <c r="CE271" s="61"/>
      <c r="CF271" s="58"/>
      <c r="CG271" s="58"/>
      <c r="CH271" s="58"/>
      <c r="CI271" s="58"/>
      <c r="CJ271" s="62"/>
      <c r="CK271" s="58"/>
      <c r="CL271" s="58"/>
      <c r="CM271" s="58"/>
      <c r="CN271" s="58"/>
      <c r="CO271" s="63"/>
      <c r="CP271" s="58"/>
      <c r="CQ271" s="58"/>
      <c r="CR271" s="58"/>
      <c r="CS271" s="58"/>
      <c r="CT271" s="15"/>
      <c r="CU271" s="16"/>
      <c r="CV271" s="16"/>
      <c r="CW271" s="16"/>
      <c r="CX271" s="15"/>
      <c r="CY271" s="16"/>
      <c r="CZ271" s="17"/>
    </row>
    <row r="272" spans="1:104" s="18" customFormat="1" ht="15.75" customHeight="1">
      <c r="A272" s="64"/>
      <c r="B272" s="66"/>
      <c r="C272" s="43"/>
      <c r="D272" s="57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"/>
      <c r="Z272" s="5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66"/>
      <c r="AQ272" s="6"/>
      <c r="AR272" s="6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7"/>
      <c r="BF272" s="7"/>
      <c r="BG272" s="58"/>
      <c r="BH272" s="58"/>
      <c r="BI272" s="58"/>
      <c r="BJ272" s="58"/>
      <c r="BK272" s="58"/>
      <c r="BL272" s="58"/>
      <c r="BM272" s="58"/>
      <c r="BN272" s="58"/>
      <c r="BO272" s="8"/>
      <c r="BP272" s="8"/>
      <c r="BQ272" s="58"/>
      <c r="BR272" s="58"/>
      <c r="BS272" s="58"/>
      <c r="BT272" s="58"/>
      <c r="BU272" s="59"/>
      <c r="BV272" s="58"/>
      <c r="BW272" s="58"/>
      <c r="BX272" s="58"/>
      <c r="BY272" s="58"/>
      <c r="BZ272" s="60"/>
      <c r="CA272" s="58"/>
      <c r="CB272" s="58"/>
      <c r="CC272" s="58"/>
      <c r="CD272" s="58"/>
      <c r="CE272" s="61"/>
      <c r="CF272" s="58"/>
      <c r="CG272" s="58"/>
      <c r="CH272" s="58"/>
      <c r="CI272" s="58"/>
      <c r="CJ272" s="62"/>
      <c r="CK272" s="58"/>
      <c r="CL272" s="58"/>
      <c r="CM272" s="58"/>
      <c r="CN272" s="58"/>
      <c r="CO272" s="63"/>
      <c r="CP272" s="58"/>
      <c r="CQ272" s="58"/>
      <c r="CR272" s="58"/>
      <c r="CS272" s="58"/>
      <c r="CT272" s="15"/>
      <c r="CU272" s="16"/>
      <c r="CV272" s="16"/>
      <c r="CW272" s="16"/>
      <c r="CX272" s="15"/>
      <c r="CY272" s="16"/>
      <c r="CZ272" s="17"/>
    </row>
    <row r="273" spans="1:191" s="18" customFormat="1" ht="14.25" customHeight="1">
      <c r="A273" s="64"/>
      <c r="B273" s="65"/>
      <c r="C273" s="43"/>
      <c r="D273" s="57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"/>
      <c r="Z273" s="5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66"/>
      <c r="AQ273" s="6"/>
      <c r="AR273" s="6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7"/>
      <c r="BF273" s="7"/>
      <c r="BG273" s="58"/>
      <c r="BH273" s="58"/>
      <c r="BI273" s="58"/>
      <c r="BJ273" s="58"/>
      <c r="BK273" s="58"/>
      <c r="BL273" s="58"/>
      <c r="BM273" s="58"/>
      <c r="BN273" s="58"/>
      <c r="BO273" s="8"/>
      <c r="BP273" s="8"/>
      <c r="BQ273" s="58"/>
      <c r="BR273" s="58"/>
      <c r="BS273" s="58"/>
      <c r="BT273" s="58"/>
      <c r="BU273" s="59"/>
      <c r="BV273" s="58"/>
      <c r="BW273" s="58"/>
      <c r="BX273" s="58"/>
      <c r="BY273" s="58"/>
      <c r="BZ273" s="60"/>
      <c r="CA273" s="58"/>
      <c r="CB273" s="58"/>
      <c r="CC273" s="58"/>
      <c r="CD273" s="58"/>
      <c r="CE273" s="61"/>
      <c r="CF273" s="58"/>
      <c r="CG273" s="58"/>
      <c r="CH273" s="58"/>
      <c r="CI273" s="58"/>
      <c r="CJ273" s="62"/>
      <c r="CK273" s="58"/>
      <c r="CL273" s="58"/>
      <c r="CM273" s="58"/>
      <c r="CN273" s="58"/>
      <c r="CO273" s="63"/>
      <c r="CP273" s="58"/>
      <c r="CQ273" s="58"/>
      <c r="CR273" s="58"/>
      <c r="CS273" s="58"/>
      <c r="CT273" s="15"/>
      <c r="CU273" s="16"/>
      <c r="CV273" s="16"/>
      <c r="CW273" s="16"/>
      <c r="CX273" s="15"/>
      <c r="CY273" s="16"/>
      <c r="CZ273" s="17"/>
    </row>
    <row r="274" spans="1:191" s="18" customFormat="1" ht="15.75" customHeight="1">
      <c r="A274" s="64"/>
      <c r="B274" s="66"/>
      <c r="C274" s="43"/>
      <c r="D274" s="57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"/>
      <c r="Z274" s="5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66"/>
      <c r="AQ274" s="6"/>
      <c r="AR274" s="6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7"/>
      <c r="BF274" s="7"/>
      <c r="BG274" s="58"/>
      <c r="BH274" s="58"/>
      <c r="BI274" s="58"/>
      <c r="BJ274" s="58"/>
      <c r="BK274" s="58"/>
      <c r="BL274" s="58"/>
      <c r="BM274" s="58"/>
      <c r="BN274" s="58"/>
      <c r="BO274" s="8"/>
      <c r="BP274" s="8"/>
      <c r="BQ274" s="58"/>
      <c r="BR274" s="58"/>
      <c r="BS274" s="58"/>
      <c r="BT274" s="58"/>
      <c r="BU274" s="59"/>
      <c r="BV274" s="58"/>
      <c r="BW274" s="58"/>
      <c r="BX274" s="58"/>
      <c r="BY274" s="58"/>
      <c r="BZ274" s="60"/>
      <c r="CA274" s="58"/>
      <c r="CB274" s="58"/>
      <c r="CC274" s="58"/>
      <c r="CD274" s="58"/>
      <c r="CE274" s="61"/>
      <c r="CF274" s="58"/>
      <c r="CG274" s="58"/>
      <c r="CH274" s="58"/>
      <c r="CI274" s="58"/>
      <c r="CJ274" s="62"/>
      <c r="CK274" s="58"/>
      <c r="CL274" s="58"/>
      <c r="CM274" s="58"/>
      <c r="CN274" s="58"/>
      <c r="CO274" s="63"/>
      <c r="CP274" s="58"/>
      <c r="CQ274" s="58"/>
      <c r="CR274" s="58"/>
      <c r="CS274" s="58"/>
      <c r="CT274" s="15"/>
      <c r="CU274" s="16"/>
      <c r="CV274" s="16"/>
      <c r="CW274" s="16"/>
      <c r="CX274" s="15"/>
      <c r="CY274" s="16"/>
      <c r="CZ274" s="17"/>
    </row>
    <row r="275" spans="1:191" s="18" customFormat="1" ht="14.25" customHeight="1">
      <c r="A275" s="64"/>
      <c r="B275" s="65"/>
      <c r="C275" s="43"/>
      <c r="D275" s="57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"/>
      <c r="Z275" s="5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66"/>
      <c r="AQ275" s="6"/>
      <c r="AR275" s="6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7"/>
      <c r="BF275" s="7"/>
      <c r="BG275" s="58"/>
      <c r="BH275" s="58"/>
      <c r="BI275" s="58"/>
      <c r="BJ275" s="58"/>
      <c r="BK275" s="58"/>
      <c r="BL275" s="58"/>
      <c r="BM275" s="58"/>
      <c r="BN275" s="58"/>
      <c r="BO275" s="8"/>
      <c r="BP275" s="8"/>
      <c r="BQ275" s="58"/>
      <c r="BR275" s="58"/>
      <c r="BS275" s="58"/>
      <c r="BT275" s="58"/>
      <c r="BU275" s="59"/>
      <c r="BV275" s="58"/>
      <c r="BW275" s="58"/>
      <c r="BX275" s="58"/>
      <c r="BY275" s="58"/>
      <c r="BZ275" s="60"/>
      <c r="CA275" s="58"/>
      <c r="CB275" s="58"/>
      <c r="CC275" s="58"/>
      <c r="CD275" s="58"/>
      <c r="CE275" s="61"/>
      <c r="CF275" s="58"/>
      <c r="CG275" s="58"/>
      <c r="CH275" s="58"/>
      <c r="CI275" s="58"/>
      <c r="CJ275" s="62"/>
      <c r="CK275" s="58"/>
      <c r="CL275" s="58"/>
      <c r="CM275" s="58"/>
      <c r="CN275" s="58"/>
      <c r="CO275" s="63"/>
      <c r="CP275" s="58"/>
      <c r="CQ275" s="58"/>
      <c r="CR275" s="58"/>
      <c r="CS275" s="58"/>
      <c r="CT275" s="15"/>
      <c r="CU275" s="16"/>
      <c r="CV275" s="16"/>
      <c r="CW275" s="16"/>
      <c r="CX275" s="15"/>
      <c r="CY275" s="16"/>
      <c r="CZ275" s="17"/>
    </row>
    <row r="276" spans="1:191" s="18" customFormat="1" ht="15.75" customHeight="1">
      <c r="A276" s="64"/>
      <c r="B276" s="66"/>
      <c r="C276" s="43"/>
      <c r="D276" s="57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"/>
      <c r="Z276" s="5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66"/>
      <c r="AQ276" s="6"/>
      <c r="AR276" s="6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7"/>
      <c r="BF276" s="7"/>
      <c r="BG276" s="58"/>
      <c r="BH276" s="58"/>
      <c r="BI276" s="58"/>
      <c r="BJ276" s="58"/>
      <c r="BK276" s="58"/>
      <c r="BL276" s="58"/>
      <c r="BM276" s="58"/>
      <c r="BN276" s="58"/>
      <c r="BO276" s="8"/>
      <c r="BP276" s="8"/>
      <c r="BQ276" s="58"/>
      <c r="BR276" s="58"/>
      <c r="BS276" s="58"/>
      <c r="BT276" s="58"/>
      <c r="BU276" s="59"/>
      <c r="BV276" s="58"/>
      <c r="BW276" s="58"/>
      <c r="BX276" s="58"/>
      <c r="BY276" s="58"/>
      <c r="BZ276" s="60"/>
      <c r="CA276" s="58"/>
      <c r="CB276" s="58"/>
      <c r="CC276" s="58"/>
      <c r="CD276" s="58"/>
      <c r="CE276" s="61"/>
      <c r="CF276" s="58"/>
      <c r="CG276" s="58"/>
      <c r="CH276" s="58"/>
      <c r="CI276" s="58"/>
      <c r="CJ276" s="62"/>
      <c r="CK276" s="58"/>
      <c r="CL276" s="58"/>
      <c r="CM276" s="58"/>
      <c r="CN276" s="58"/>
      <c r="CO276" s="63"/>
      <c r="CP276" s="58"/>
      <c r="CQ276" s="58"/>
      <c r="CR276" s="58"/>
      <c r="CS276" s="58"/>
      <c r="CT276" s="15"/>
      <c r="CU276" s="16"/>
      <c r="CV276" s="16"/>
      <c r="CW276" s="16"/>
      <c r="CX276" s="15"/>
      <c r="CY276" s="16"/>
      <c r="CZ276" s="17"/>
    </row>
    <row r="277" spans="1:191" s="18" customFormat="1" ht="14.25" customHeight="1">
      <c r="A277" s="64"/>
      <c r="B277" s="71"/>
      <c r="C277" s="43"/>
      <c r="D277" s="57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"/>
      <c r="Z277" s="5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72"/>
      <c r="AQ277" s="6"/>
      <c r="AR277" s="6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7"/>
      <c r="BF277" s="7"/>
      <c r="BG277" s="58"/>
      <c r="BH277" s="58"/>
      <c r="BI277" s="58"/>
      <c r="BJ277" s="58"/>
      <c r="BK277" s="58"/>
      <c r="BL277" s="58"/>
      <c r="BM277" s="58"/>
      <c r="BN277" s="58"/>
      <c r="BO277" s="8"/>
      <c r="BP277" s="8"/>
      <c r="BQ277" s="58"/>
      <c r="BR277" s="58"/>
      <c r="BS277" s="58"/>
      <c r="BT277" s="58"/>
      <c r="BU277" s="59"/>
      <c r="BV277" s="58"/>
      <c r="BW277" s="58"/>
      <c r="BX277" s="58"/>
      <c r="BY277" s="58"/>
      <c r="BZ277" s="60"/>
      <c r="CA277" s="58"/>
      <c r="CB277" s="58"/>
      <c r="CC277" s="58"/>
      <c r="CD277" s="58"/>
      <c r="CE277" s="61"/>
      <c r="CF277" s="58"/>
      <c r="CG277" s="58"/>
      <c r="CH277" s="58"/>
      <c r="CI277" s="58"/>
      <c r="CJ277" s="62"/>
      <c r="CK277" s="58"/>
      <c r="CL277" s="58"/>
      <c r="CM277" s="58"/>
      <c r="CN277" s="58"/>
      <c r="CO277" s="63"/>
      <c r="CP277" s="58"/>
      <c r="CQ277" s="58"/>
      <c r="CR277" s="58"/>
      <c r="CS277" s="58"/>
      <c r="CT277" s="15"/>
      <c r="CU277" s="16"/>
      <c r="CV277" s="16"/>
      <c r="CW277" s="16"/>
      <c r="CX277" s="15"/>
      <c r="CY277" s="16"/>
      <c r="CZ277" s="17"/>
    </row>
    <row r="278" spans="1:191" s="18" customFormat="1" ht="15.75" customHeight="1">
      <c r="A278" s="64"/>
      <c r="B278" s="65"/>
      <c r="C278" s="43"/>
      <c r="D278" s="57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"/>
      <c r="Z278" s="5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66"/>
      <c r="AQ278" s="6"/>
      <c r="AR278" s="6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7"/>
      <c r="BF278" s="7"/>
      <c r="BG278" s="58"/>
      <c r="BH278" s="58"/>
      <c r="BI278" s="58"/>
      <c r="BJ278" s="58"/>
      <c r="BK278" s="58"/>
      <c r="BL278" s="58"/>
      <c r="BM278" s="58"/>
      <c r="BN278" s="58"/>
      <c r="BO278" s="8"/>
      <c r="BP278" s="8"/>
      <c r="BQ278" s="58"/>
      <c r="BR278" s="58"/>
      <c r="BS278" s="58"/>
      <c r="BT278" s="58"/>
      <c r="BU278" s="59"/>
      <c r="BV278" s="58"/>
      <c r="BW278" s="58"/>
      <c r="BX278" s="58"/>
      <c r="BY278" s="58"/>
      <c r="BZ278" s="60"/>
      <c r="CA278" s="58"/>
      <c r="CB278" s="58"/>
      <c r="CC278" s="58"/>
      <c r="CD278" s="58"/>
      <c r="CE278" s="61"/>
      <c r="CF278" s="58"/>
      <c r="CG278" s="58"/>
      <c r="CH278" s="58"/>
      <c r="CI278" s="58"/>
      <c r="CJ278" s="62"/>
      <c r="CK278" s="58"/>
      <c r="CL278" s="58"/>
      <c r="CM278" s="58"/>
      <c r="CN278" s="58"/>
      <c r="CO278" s="63"/>
      <c r="CP278" s="58"/>
      <c r="CQ278" s="58"/>
      <c r="CR278" s="58"/>
      <c r="CS278" s="58"/>
      <c r="CT278" s="15"/>
      <c r="CU278" s="16"/>
      <c r="CV278" s="16"/>
      <c r="CW278" s="16"/>
      <c r="CX278" s="15"/>
      <c r="CY278" s="16"/>
      <c r="CZ278" s="17"/>
    </row>
    <row r="279" spans="1:191" s="18" customFormat="1" ht="14.25" customHeight="1">
      <c r="A279" s="175"/>
      <c r="B279" s="176"/>
      <c r="C279" s="164"/>
      <c r="D279" s="177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7"/>
      <c r="Z279" s="137"/>
      <c r="AA279" s="134"/>
      <c r="AB279" s="134"/>
      <c r="AC279" s="134"/>
      <c r="AD279" s="134"/>
      <c r="AE279" s="134"/>
      <c r="AF279" s="134"/>
      <c r="AG279" s="134"/>
      <c r="AH279" s="134"/>
      <c r="AI279" s="134"/>
      <c r="AJ279" s="134"/>
      <c r="AK279" s="134"/>
      <c r="AL279" s="134"/>
      <c r="AM279" s="134"/>
      <c r="AN279" s="134"/>
      <c r="AO279" s="134"/>
      <c r="AP279" s="178"/>
      <c r="AQ279" s="138"/>
      <c r="AR279" s="138"/>
      <c r="AS279" s="134"/>
      <c r="AT279" s="134"/>
      <c r="AU279" s="134"/>
      <c r="AV279" s="134"/>
      <c r="AW279" s="134"/>
      <c r="AX279" s="134"/>
      <c r="AY279" s="134"/>
      <c r="AZ279" s="134"/>
      <c r="BA279" s="134"/>
      <c r="BB279" s="134"/>
      <c r="BC279" s="134"/>
      <c r="BD279" s="134"/>
      <c r="BE279" s="139"/>
      <c r="BF279" s="139"/>
      <c r="BG279" s="134"/>
      <c r="BH279" s="134"/>
      <c r="BI279" s="134"/>
      <c r="BJ279" s="134"/>
      <c r="BK279" s="134"/>
      <c r="BL279" s="134"/>
      <c r="BM279" s="134"/>
      <c r="BN279" s="134"/>
      <c r="BO279" s="140"/>
      <c r="BP279" s="140"/>
      <c r="BQ279" s="134"/>
      <c r="BR279" s="134"/>
      <c r="BS279" s="134"/>
      <c r="BT279" s="134"/>
      <c r="BU279" s="179"/>
      <c r="BV279" s="134"/>
      <c r="BW279" s="134"/>
      <c r="BX279" s="134"/>
      <c r="BY279" s="134"/>
      <c r="BZ279" s="180"/>
      <c r="CA279" s="134"/>
      <c r="CB279" s="134"/>
      <c r="CC279" s="134"/>
      <c r="CD279" s="134"/>
      <c r="CE279" s="181"/>
      <c r="CF279" s="134"/>
      <c r="CG279" s="134"/>
      <c r="CH279" s="134"/>
      <c r="CI279" s="134"/>
      <c r="CJ279" s="182"/>
      <c r="CK279" s="134"/>
      <c r="CL279" s="134"/>
      <c r="CM279" s="134"/>
      <c r="CN279" s="134"/>
      <c r="CO279" s="183"/>
      <c r="CP279" s="134"/>
      <c r="CQ279" s="134"/>
      <c r="CR279" s="134"/>
      <c r="CS279" s="134"/>
      <c r="CT279" s="141"/>
      <c r="CU279" s="142"/>
      <c r="CV279" s="142"/>
      <c r="CW279" s="142"/>
      <c r="CX279" s="141"/>
      <c r="CY279" s="142"/>
      <c r="CZ279" s="184"/>
    </row>
    <row r="280" spans="1:191" s="194" customFormat="1" ht="14.25" customHeight="1">
      <c r="A280" s="185"/>
      <c r="B280" s="186"/>
      <c r="C280" s="43"/>
      <c r="D280" s="87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57"/>
      <c r="Z280" s="157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  <c r="AM280" s="135"/>
      <c r="AN280" s="135"/>
      <c r="AO280" s="135"/>
      <c r="AP280" s="187"/>
      <c r="AQ280" s="158"/>
      <c r="AR280" s="158"/>
      <c r="AS280" s="135"/>
      <c r="AT280" s="135"/>
      <c r="AU280" s="135"/>
      <c r="AV280" s="135"/>
      <c r="AW280" s="135"/>
      <c r="AX280" s="135"/>
      <c r="AY280" s="135"/>
      <c r="AZ280" s="135"/>
      <c r="BA280" s="135"/>
      <c r="BB280" s="135"/>
      <c r="BC280" s="135"/>
      <c r="BD280" s="135"/>
      <c r="BE280" s="159"/>
      <c r="BF280" s="159"/>
      <c r="BG280" s="135"/>
      <c r="BH280" s="135"/>
      <c r="BI280" s="135"/>
      <c r="BJ280" s="135"/>
      <c r="BK280" s="135"/>
      <c r="BL280" s="135"/>
      <c r="BM280" s="135"/>
      <c r="BN280" s="135"/>
      <c r="BO280" s="160"/>
      <c r="BP280" s="160"/>
      <c r="BQ280" s="135"/>
      <c r="BR280" s="135"/>
      <c r="BS280" s="135"/>
      <c r="BT280" s="135"/>
      <c r="BU280" s="188"/>
      <c r="BV280" s="135"/>
      <c r="BW280" s="135"/>
      <c r="BX280" s="135"/>
      <c r="BY280" s="135"/>
      <c r="BZ280" s="189"/>
      <c r="CA280" s="135"/>
      <c r="CB280" s="135"/>
      <c r="CC280" s="135"/>
      <c r="CD280" s="135"/>
      <c r="CE280" s="190"/>
      <c r="CF280" s="135"/>
      <c r="CG280" s="135"/>
      <c r="CH280" s="135"/>
      <c r="CI280" s="135"/>
      <c r="CJ280" s="191"/>
      <c r="CK280" s="135"/>
      <c r="CL280" s="135"/>
      <c r="CM280" s="135"/>
      <c r="CN280" s="135"/>
      <c r="CO280" s="192"/>
      <c r="CP280" s="135"/>
      <c r="CQ280" s="135"/>
      <c r="CR280" s="135"/>
      <c r="CS280" s="135"/>
      <c r="CT280" s="161"/>
      <c r="CU280" s="162"/>
      <c r="CV280" s="162"/>
      <c r="CW280" s="162"/>
      <c r="CX280" s="161"/>
      <c r="CY280" s="162"/>
      <c r="CZ280" s="193"/>
      <c r="DA280" s="195"/>
      <c r="DB280" s="195"/>
      <c r="DC280" s="195"/>
      <c r="DD280" s="195"/>
      <c r="DE280" s="195"/>
      <c r="DF280" s="195"/>
      <c r="DG280" s="195"/>
      <c r="DH280" s="195"/>
      <c r="DI280" s="195"/>
      <c r="DJ280" s="195"/>
      <c r="DK280" s="195"/>
      <c r="DL280" s="195"/>
      <c r="DM280" s="195"/>
      <c r="DN280" s="195"/>
      <c r="DO280" s="195"/>
      <c r="DP280" s="195"/>
      <c r="DQ280" s="195"/>
      <c r="DR280" s="195"/>
      <c r="DS280" s="195"/>
      <c r="DT280" s="195"/>
      <c r="DU280" s="195"/>
      <c r="DV280" s="195"/>
      <c r="DW280" s="195"/>
      <c r="DX280" s="195"/>
      <c r="DY280" s="195"/>
      <c r="DZ280" s="195"/>
      <c r="EA280" s="195"/>
      <c r="EB280" s="195"/>
      <c r="EC280" s="195"/>
      <c r="ED280" s="195"/>
      <c r="EE280" s="195"/>
      <c r="EF280" s="195"/>
      <c r="EG280" s="195"/>
      <c r="EH280" s="195"/>
      <c r="EI280" s="195"/>
      <c r="EJ280" s="195"/>
      <c r="EK280" s="195"/>
      <c r="EL280" s="195"/>
      <c r="EM280" s="195"/>
      <c r="EN280" s="195"/>
      <c r="EO280" s="195"/>
      <c r="EP280" s="195"/>
      <c r="EQ280" s="195"/>
      <c r="ER280" s="195"/>
      <c r="ES280" s="195"/>
      <c r="ET280" s="195"/>
      <c r="EU280" s="195"/>
      <c r="EV280" s="195"/>
      <c r="EW280" s="195"/>
      <c r="EX280" s="195"/>
      <c r="EY280" s="195"/>
      <c r="EZ280" s="195"/>
      <c r="FA280" s="195"/>
      <c r="FB280" s="195"/>
      <c r="FC280" s="195"/>
      <c r="FD280" s="195"/>
      <c r="FE280" s="195"/>
      <c r="FF280" s="195"/>
      <c r="FG280" s="195"/>
      <c r="FH280" s="195"/>
      <c r="FI280" s="195"/>
      <c r="FJ280" s="195"/>
      <c r="FK280" s="195"/>
      <c r="FL280" s="195"/>
      <c r="FM280" s="195"/>
      <c r="FN280" s="195"/>
      <c r="FO280" s="195"/>
      <c r="FP280" s="195"/>
      <c r="FQ280" s="195"/>
      <c r="FR280" s="195"/>
      <c r="FS280" s="195"/>
      <c r="FT280" s="195"/>
      <c r="FU280" s="195"/>
      <c r="FV280" s="195"/>
      <c r="FW280" s="195"/>
      <c r="FX280" s="195"/>
      <c r="FY280" s="195"/>
      <c r="FZ280" s="195"/>
      <c r="GA280" s="195"/>
      <c r="GB280" s="195"/>
      <c r="GC280" s="195"/>
      <c r="GD280" s="195"/>
      <c r="GE280" s="195"/>
      <c r="GF280" s="195"/>
      <c r="GG280" s="195"/>
      <c r="GH280" s="195"/>
      <c r="GI280" s="195"/>
    </row>
    <row r="281" spans="1:191" s="194" customFormat="1" ht="14.25" customHeight="1">
      <c r="A281" s="185"/>
      <c r="B281" s="186"/>
      <c r="C281" s="43"/>
      <c r="D281" s="87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57"/>
      <c r="Z281" s="157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  <c r="AM281" s="135"/>
      <c r="AN281" s="135"/>
      <c r="AO281" s="135"/>
      <c r="AP281" s="187"/>
      <c r="AQ281" s="158"/>
      <c r="AR281" s="158"/>
      <c r="AS281" s="135"/>
      <c r="AT281" s="135"/>
      <c r="AU281" s="135"/>
      <c r="AV281" s="135"/>
      <c r="AW281" s="135"/>
      <c r="AX281" s="135"/>
      <c r="AY281" s="135"/>
      <c r="AZ281" s="135"/>
      <c r="BA281" s="135"/>
      <c r="BB281" s="135"/>
      <c r="BC281" s="135"/>
      <c r="BD281" s="135"/>
      <c r="BE281" s="159"/>
      <c r="BF281" s="159"/>
      <c r="BG281" s="135"/>
      <c r="BH281" s="135"/>
      <c r="BI281" s="135"/>
      <c r="BJ281" s="135"/>
      <c r="BK281" s="135"/>
      <c r="BL281" s="135"/>
      <c r="BM281" s="135"/>
      <c r="BN281" s="135"/>
      <c r="BO281" s="160"/>
      <c r="BP281" s="160"/>
      <c r="BQ281" s="135"/>
      <c r="BR281" s="135"/>
      <c r="BS281" s="135"/>
      <c r="BT281" s="135"/>
      <c r="BU281" s="188"/>
      <c r="BV281" s="135"/>
      <c r="BW281" s="135"/>
      <c r="BX281" s="135"/>
      <c r="BY281" s="135"/>
      <c r="BZ281" s="189"/>
      <c r="CA281" s="135"/>
      <c r="CB281" s="135"/>
      <c r="CC281" s="135"/>
      <c r="CD281" s="135"/>
      <c r="CE281" s="190"/>
      <c r="CF281" s="135"/>
      <c r="CG281" s="135"/>
      <c r="CH281" s="135"/>
      <c r="CI281" s="135"/>
      <c r="CJ281" s="191"/>
      <c r="CK281" s="135"/>
      <c r="CL281" s="135"/>
      <c r="CM281" s="135"/>
      <c r="CN281" s="135"/>
      <c r="CO281" s="192"/>
      <c r="CP281" s="135"/>
      <c r="CQ281" s="135"/>
      <c r="CR281" s="135"/>
      <c r="CS281" s="135"/>
      <c r="CT281" s="161"/>
      <c r="CU281" s="162"/>
      <c r="CV281" s="162"/>
      <c r="CW281" s="162"/>
      <c r="CX281" s="161"/>
      <c r="CY281" s="162"/>
      <c r="CZ281" s="193"/>
      <c r="DA281" s="195"/>
      <c r="DB281" s="195"/>
      <c r="DC281" s="195"/>
      <c r="DD281" s="195"/>
      <c r="DE281" s="195"/>
      <c r="DF281" s="195"/>
      <c r="DG281" s="195"/>
      <c r="DH281" s="195"/>
      <c r="DI281" s="195"/>
      <c r="DJ281" s="195"/>
      <c r="DK281" s="195"/>
      <c r="DL281" s="195"/>
      <c r="DM281" s="195"/>
      <c r="DN281" s="195"/>
      <c r="DO281" s="195"/>
      <c r="DP281" s="195"/>
      <c r="DQ281" s="195"/>
      <c r="DR281" s="195"/>
      <c r="DS281" s="195"/>
      <c r="DT281" s="195"/>
      <c r="DU281" s="195"/>
      <c r="DV281" s="195"/>
      <c r="DW281" s="195"/>
      <c r="DX281" s="195"/>
      <c r="DY281" s="195"/>
      <c r="DZ281" s="195"/>
      <c r="EA281" s="195"/>
      <c r="EB281" s="195"/>
      <c r="EC281" s="195"/>
      <c r="ED281" s="195"/>
      <c r="EE281" s="195"/>
      <c r="EF281" s="195"/>
      <c r="EG281" s="195"/>
      <c r="EH281" s="195"/>
      <c r="EI281" s="195"/>
      <c r="EJ281" s="195"/>
      <c r="EK281" s="195"/>
      <c r="EL281" s="195"/>
      <c r="EM281" s="195"/>
      <c r="EN281" s="195"/>
      <c r="EO281" s="195"/>
      <c r="EP281" s="195"/>
      <c r="EQ281" s="195"/>
      <c r="ER281" s="195"/>
      <c r="ES281" s="195"/>
      <c r="ET281" s="195"/>
      <c r="EU281" s="195"/>
      <c r="EV281" s="195"/>
      <c r="EW281" s="195"/>
      <c r="EX281" s="195"/>
      <c r="EY281" s="195"/>
      <c r="EZ281" s="195"/>
      <c r="FA281" s="195"/>
      <c r="FB281" s="195"/>
      <c r="FC281" s="195"/>
      <c r="FD281" s="195"/>
      <c r="FE281" s="195"/>
      <c r="FF281" s="195"/>
      <c r="FG281" s="195"/>
      <c r="FH281" s="195"/>
      <c r="FI281" s="195"/>
      <c r="FJ281" s="195"/>
      <c r="FK281" s="195"/>
      <c r="FL281" s="195"/>
      <c r="FM281" s="195"/>
      <c r="FN281" s="195"/>
      <c r="FO281" s="195"/>
      <c r="FP281" s="195"/>
      <c r="FQ281" s="195"/>
      <c r="FR281" s="195"/>
      <c r="FS281" s="195"/>
      <c r="FT281" s="195"/>
      <c r="FU281" s="195"/>
      <c r="FV281" s="195"/>
      <c r="FW281" s="195"/>
      <c r="FX281" s="195"/>
      <c r="FY281" s="195"/>
      <c r="FZ281" s="195"/>
      <c r="GA281" s="195"/>
      <c r="GB281" s="195"/>
      <c r="GC281" s="195"/>
      <c r="GD281" s="195"/>
      <c r="GE281" s="195"/>
      <c r="GF281" s="195"/>
      <c r="GG281" s="195"/>
      <c r="GH281" s="195"/>
      <c r="GI281" s="195"/>
    </row>
    <row r="282" spans="1:191" s="18" customFormat="1" ht="14.25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</row>
    <row r="283" spans="1:191" s="18" customFormat="1" ht="14.25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</row>
    <row r="284" spans="1:191" s="18" customFormat="1" ht="14.25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</row>
    <row r="285" spans="1:191" s="18" customFormat="1" ht="14.25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</row>
    <row r="286" spans="1:191" ht="15.75" thickBot="1"/>
    <row r="287" spans="1:191" s="18" customFormat="1" ht="14.25" customHeight="1">
      <c r="A287" s="55"/>
      <c r="B287" s="73"/>
      <c r="C287" s="43"/>
      <c r="D287" s="57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"/>
      <c r="Z287" s="5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6"/>
      <c r="AR287" s="6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7"/>
      <c r="BF287" s="7"/>
      <c r="BG287" s="58"/>
      <c r="BH287" s="58"/>
      <c r="BI287" s="58"/>
      <c r="BJ287" s="58"/>
      <c r="BK287" s="58"/>
      <c r="BL287" s="58"/>
      <c r="BM287" s="58"/>
      <c r="BN287" s="58"/>
      <c r="BO287" s="8"/>
      <c r="BP287" s="8"/>
      <c r="BQ287" s="58"/>
      <c r="BR287" s="58"/>
      <c r="BS287" s="58"/>
      <c r="BT287" s="58"/>
      <c r="BU287" s="59"/>
      <c r="BV287" s="58"/>
      <c r="BW287" s="58"/>
      <c r="BX287" s="58"/>
      <c r="BY287" s="58"/>
      <c r="BZ287" s="60"/>
      <c r="CA287" s="58"/>
      <c r="CB287" s="58"/>
      <c r="CC287" s="58"/>
      <c r="CD287" s="58"/>
      <c r="CE287" s="61"/>
      <c r="CF287" s="58"/>
      <c r="CG287" s="58"/>
      <c r="CH287" s="58"/>
      <c r="CI287" s="58"/>
      <c r="CJ287" s="62"/>
      <c r="CK287" s="58"/>
      <c r="CL287" s="58"/>
      <c r="CM287" s="58"/>
      <c r="CN287" s="58"/>
      <c r="CO287" s="63"/>
      <c r="CP287" s="58"/>
      <c r="CQ287" s="58"/>
      <c r="CR287" s="58"/>
      <c r="CS287" s="58"/>
      <c r="CT287" s="15"/>
      <c r="CU287" s="16"/>
      <c r="CV287" s="16"/>
      <c r="CW287" s="16"/>
      <c r="CX287" s="15"/>
      <c r="CY287" s="16"/>
      <c r="CZ287" s="17"/>
    </row>
    <row r="288" spans="1:191" s="18" customFormat="1" ht="15" customHeight="1">
      <c r="A288" s="64"/>
      <c r="B288" s="74"/>
      <c r="C288" s="43"/>
      <c r="D288" s="57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"/>
      <c r="Z288" s="5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6"/>
      <c r="AR288" s="6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7"/>
      <c r="BF288" s="7"/>
      <c r="BG288" s="58"/>
      <c r="BH288" s="58"/>
      <c r="BI288" s="58"/>
      <c r="BJ288" s="58"/>
      <c r="BK288" s="58"/>
      <c r="BL288" s="58"/>
      <c r="BM288" s="58"/>
      <c r="BN288" s="58"/>
      <c r="BO288" s="8"/>
      <c r="BP288" s="8"/>
      <c r="BQ288" s="58"/>
      <c r="BR288" s="58"/>
      <c r="BS288" s="58"/>
      <c r="BT288" s="58"/>
      <c r="BU288" s="59"/>
      <c r="BV288" s="58"/>
      <c r="BW288" s="58"/>
      <c r="BX288" s="58"/>
      <c r="BY288" s="58"/>
      <c r="BZ288" s="60"/>
      <c r="CA288" s="58"/>
      <c r="CB288" s="58"/>
      <c r="CC288" s="58"/>
      <c r="CD288" s="58"/>
      <c r="CE288" s="61"/>
      <c r="CF288" s="58"/>
      <c r="CG288" s="58"/>
      <c r="CH288" s="58"/>
      <c r="CI288" s="58"/>
      <c r="CJ288" s="62"/>
      <c r="CK288" s="58"/>
      <c r="CL288" s="58"/>
      <c r="CM288" s="58"/>
      <c r="CN288" s="58"/>
      <c r="CO288" s="63"/>
      <c r="CP288" s="58"/>
      <c r="CQ288" s="58"/>
      <c r="CR288" s="58"/>
      <c r="CS288" s="58"/>
      <c r="CT288" s="15"/>
      <c r="CU288" s="16"/>
      <c r="CV288" s="16"/>
      <c r="CW288" s="16"/>
      <c r="CX288" s="15"/>
      <c r="CY288" s="16"/>
      <c r="CZ288" s="17"/>
    </row>
    <row r="289" spans="1:104" s="18" customFormat="1" ht="15" customHeight="1">
      <c r="A289" s="64"/>
      <c r="B289" s="75"/>
      <c r="C289" s="43"/>
      <c r="D289" s="57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"/>
      <c r="Z289" s="5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6"/>
      <c r="AR289" s="6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7"/>
      <c r="BF289" s="7"/>
      <c r="BG289" s="58"/>
      <c r="BH289" s="58"/>
      <c r="BI289" s="58"/>
      <c r="BJ289" s="58"/>
      <c r="BK289" s="58"/>
      <c r="BL289" s="58"/>
      <c r="BM289" s="58"/>
      <c r="BN289" s="58"/>
      <c r="BO289" s="8"/>
      <c r="BP289" s="8"/>
      <c r="BQ289" s="58"/>
      <c r="BR289" s="58"/>
      <c r="BS289" s="58"/>
      <c r="BT289" s="58"/>
      <c r="BU289" s="59"/>
      <c r="BV289" s="58"/>
      <c r="BW289" s="58"/>
      <c r="BX289" s="58"/>
      <c r="BY289" s="58"/>
      <c r="BZ289" s="60"/>
      <c r="CA289" s="58"/>
      <c r="CB289" s="58"/>
      <c r="CC289" s="58"/>
      <c r="CD289" s="58"/>
      <c r="CE289" s="61"/>
      <c r="CF289" s="58"/>
      <c r="CG289" s="58"/>
      <c r="CH289" s="58"/>
      <c r="CI289" s="58"/>
      <c r="CJ289" s="62"/>
      <c r="CK289" s="58"/>
      <c r="CL289" s="58"/>
      <c r="CM289" s="58"/>
      <c r="CN289" s="58"/>
      <c r="CO289" s="63"/>
      <c r="CP289" s="58"/>
      <c r="CQ289" s="58"/>
      <c r="CR289" s="58"/>
      <c r="CS289" s="58"/>
      <c r="CT289" s="15"/>
      <c r="CU289" s="16"/>
      <c r="CV289" s="16"/>
      <c r="CW289" s="16"/>
      <c r="CX289" s="15"/>
      <c r="CY289" s="16"/>
      <c r="CZ289" s="17"/>
    </row>
    <row r="290" spans="1:104" s="18" customFormat="1" ht="15" customHeight="1">
      <c r="A290" s="64"/>
      <c r="B290" s="75"/>
      <c r="C290" s="43"/>
      <c r="D290" s="57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"/>
      <c r="Z290" s="5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6"/>
      <c r="AR290" s="6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7"/>
      <c r="BF290" s="7"/>
      <c r="BG290" s="58"/>
      <c r="BH290" s="58"/>
      <c r="BI290" s="58"/>
      <c r="BJ290" s="58"/>
      <c r="BK290" s="58"/>
      <c r="BL290" s="58"/>
      <c r="BM290" s="58"/>
      <c r="BN290" s="58"/>
      <c r="BO290" s="8"/>
      <c r="BP290" s="8"/>
      <c r="BQ290" s="58"/>
      <c r="BR290" s="58"/>
      <c r="BS290" s="58"/>
      <c r="BT290" s="58"/>
      <c r="BU290" s="59"/>
      <c r="BV290" s="58"/>
      <c r="BW290" s="58"/>
      <c r="BX290" s="58"/>
      <c r="BY290" s="58"/>
      <c r="BZ290" s="60"/>
      <c r="CA290" s="58"/>
      <c r="CB290" s="58"/>
      <c r="CC290" s="58"/>
      <c r="CD290" s="58"/>
      <c r="CE290" s="61"/>
      <c r="CF290" s="58"/>
      <c r="CG290" s="58"/>
      <c r="CH290" s="58"/>
      <c r="CI290" s="58"/>
      <c r="CJ290" s="62"/>
      <c r="CK290" s="58"/>
      <c r="CL290" s="58"/>
      <c r="CM290" s="58"/>
      <c r="CN290" s="58"/>
      <c r="CO290" s="63"/>
      <c r="CP290" s="58"/>
      <c r="CQ290" s="58"/>
      <c r="CR290" s="58"/>
      <c r="CS290" s="58"/>
      <c r="CT290" s="15"/>
      <c r="CU290" s="16"/>
      <c r="CV290" s="16"/>
      <c r="CW290" s="16"/>
      <c r="CX290" s="15"/>
      <c r="CY290" s="16"/>
      <c r="CZ290" s="17"/>
    </row>
    <row r="291" spans="1:104" s="18" customFormat="1" ht="15" customHeight="1">
      <c r="A291" s="64"/>
      <c r="B291" s="75"/>
      <c r="C291" s="43"/>
      <c r="D291" s="57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"/>
      <c r="Z291" s="5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6"/>
      <c r="AR291" s="6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7"/>
      <c r="BF291" s="7"/>
      <c r="BG291" s="58"/>
      <c r="BH291" s="58"/>
      <c r="BI291" s="58"/>
      <c r="BJ291" s="58"/>
      <c r="BK291" s="58"/>
      <c r="BL291" s="58"/>
      <c r="BM291" s="58"/>
      <c r="BN291" s="58"/>
      <c r="BO291" s="8"/>
      <c r="BP291" s="8"/>
      <c r="BQ291" s="58"/>
      <c r="BR291" s="58"/>
      <c r="BS291" s="58"/>
      <c r="BT291" s="58"/>
      <c r="BU291" s="59"/>
      <c r="BV291" s="58"/>
      <c r="BW291" s="58"/>
      <c r="BX291" s="58"/>
      <c r="BY291" s="58"/>
      <c r="BZ291" s="60"/>
      <c r="CA291" s="58"/>
      <c r="CB291" s="58"/>
      <c r="CC291" s="58"/>
      <c r="CD291" s="58"/>
      <c r="CE291" s="61"/>
      <c r="CF291" s="58"/>
      <c r="CG291" s="58"/>
      <c r="CH291" s="58"/>
      <c r="CI291" s="58"/>
      <c r="CJ291" s="62"/>
      <c r="CK291" s="58"/>
      <c r="CL291" s="58"/>
      <c r="CM291" s="58"/>
      <c r="CN291" s="58"/>
      <c r="CO291" s="63"/>
      <c r="CP291" s="58"/>
      <c r="CQ291" s="58"/>
      <c r="CR291" s="58"/>
      <c r="CS291" s="58"/>
      <c r="CT291" s="15"/>
      <c r="CU291" s="16"/>
      <c r="CV291" s="16"/>
      <c r="CW291" s="16"/>
      <c r="CX291" s="15"/>
      <c r="CY291" s="16"/>
      <c r="CZ291" s="17"/>
    </row>
    <row r="292" spans="1:104" s="18" customFormat="1" ht="15" customHeight="1">
      <c r="A292" s="64"/>
      <c r="B292" s="75"/>
      <c r="C292" s="43"/>
      <c r="D292" s="57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"/>
      <c r="Z292" s="5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6"/>
      <c r="AR292" s="6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7"/>
      <c r="BF292" s="7"/>
      <c r="BG292" s="58"/>
      <c r="BH292" s="58"/>
      <c r="BI292" s="58"/>
      <c r="BJ292" s="58"/>
      <c r="BK292" s="58"/>
      <c r="BL292" s="58"/>
      <c r="BM292" s="58"/>
      <c r="BN292" s="58"/>
      <c r="BO292" s="8"/>
      <c r="BP292" s="8"/>
      <c r="BQ292" s="58"/>
      <c r="BR292" s="58"/>
      <c r="BS292" s="58"/>
      <c r="BT292" s="58"/>
      <c r="BU292" s="59"/>
      <c r="BV292" s="58"/>
      <c r="BW292" s="58"/>
      <c r="BX292" s="58"/>
      <c r="BY292" s="58"/>
      <c r="BZ292" s="60"/>
      <c r="CA292" s="58"/>
      <c r="CB292" s="58"/>
      <c r="CC292" s="58"/>
      <c r="CD292" s="58"/>
      <c r="CE292" s="61"/>
      <c r="CF292" s="58"/>
      <c r="CG292" s="58"/>
      <c r="CH292" s="58"/>
      <c r="CI292" s="58"/>
      <c r="CJ292" s="62"/>
      <c r="CK292" s="58"/>
      <c r="CL292" s="58"/>
      <c r="CM292" s="58"/>
      <c r="CN292" s="58"/>
      <c r="CO292" s="63"/>
      <c r="CP292" s="58"/>
      <c r="CQ292" s="58"/>
      <c r="CR292" s="58"/>
      <c r="CS292" s="58"/>
      <c r="CT292" s="15"/>
      <c r="CU292" s="16"/>
      <c r="CV292" s="16"/>
      <c r="CW292" s="16"/>
      <c r="CX292" s="15"/>
      <c r="CY292" s="16"/>
      <c r="CZ292" s="17"/>
    </row>
    <row r="293" spans="1:104" s="18" customFormat="1" ht="15" customHeight="1">
      <c r="A293" s="64"/>
      <c r="B293" s="75"/>
      <c r="C293" s="43"/>
      <c r="D293" s="57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"/>
      <c r="Z293" s="5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6"/>
      <c r="AR293" s="6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7"/>
      <c r="BF293" s="7"/>
      <c r="BG293" s="58"/>
      <c r="BH293" s="58"/>
      <c r="BI293" s="58"/>
      <c r="BJ293" s="58"/>
      <c r="BK293" s="58"/>
      <c r="BL293" s="58"/>
      <c r="BM293" s="58"/>
      <c r="BN293" s="58"/>
      <c r="BO293" s="8"/>
      <c r="BP293" s="8"/>
      <c r="BQ293" s="58"/>
      <c r="BR293" s="58"/>
      <c r="BS293" s="58"/>
      <c r="BT293" s="58"/>
      <c r="BU293" s="59"/>
      <c r="BV293" s="58"/>
      <c r="BW293" s="58"/>
      <c r="BX293" s="58"/>
      <c r="BY293" s="58"/>
      <c r="BZ293" s="60"/>
      <c r="CA293" s="58"/>
      <c r="CB293" s="58"/>
      <c r="CC293" s="58"/>
      <c r="CD293" s="58"/>
      <c r="CE293" s="61"/>
      <c r="CF293" s="58"/>
      <c r="CG293" s="58"/>
      <c r="CH293" s="58"/>
      <c r="CI293" s="58"/>
      <c r="CJ293" s="62"/>
      <c r="CK293" s="58"/>
      <c r="CL293" s="58"/>
      <c r="CM293" s="58"/>
      <c r="CN293" s="58"/>
      <c r="CO293" s="63"/>
      <c r="CP293" s="58"/>
      <c r="CQ293" s="58"/>
      <c r="CR293" s="58"/>
      <c r="CS293" s="58"/>
      <c r="CT293" s="15"/>
      <c r="CU293" s="16"/>
      <c r="CV293" s="16"/>
      <c r="CW293" s="16"/>
      <c r="CX293" s="15"/>
      <c r="CY293" s="16"/>
      <c r="CZ293" s="17"/>
    </row>
    <row r="294" spans="1:104" s="18" customFormat="1" ht="15" customHeight="1">
      <c r="A294" s="64"/>
      <c r="B294" s="75"/>
      <c r="C294" s="43"/>
      <c r="D294" s="57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"/>
      <c r="Z294" s="5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6"/>
      <c r="AR294" s="6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7"/>
      <c r="BF294" s="7"/>
      <c r="BG294" s="58"/>
      <c r="BH294" s="58"/>
      <c r="BI294" s="58"/>
      <c r="BJ294" s="58"/>
      <c r="BK294" s="58"/>
      <c r="BL294" s="58"/>
      <c r="BM294" s="58"/>
      <c r="BN294" s="58"/>
      <c r="BO294" s="8"/>
      <c r="BP294" s="8"/>
      <c r="BQ294" s="58"/>
      <c r="BR294" s="58"/>
      <c r="BS294" s="58"/>
      <c r="BT294" s="58"/>
      <c r="BU294" s="59"/>
      <c r="BV294" s="58"/>
      <c r="BW294" s="58"/>
      <c r="BX294" s="58"/>
      <c r="BY294" s="58"/>
      <c r="BZ294" s="60"/>
      <c r="CA294" s="58"/>
      <c r="CB294" s="58"/>
      <c r="CC294" s="58"/>
      <c r="CD294" s="58"/>
      <c r="CE294" s="61"/>
      <c r="CF294" s="58"/>
      <c r="CG294" s="58"/>
      <c r="CH294" s="58"/>
      <c r="CI294" s="58"/>
      <c r="CJ294" s="62"/>
      <c r="CK294" s="58"/>
      <c r="CL294" s="58"/>
      <c r="CM294" s="58"/>
      <c r="CN294" s="58"/>
      <c r="CO294" s="63"/>
      <c r="CP294" s="58"/>
      <c r="CQ294" s="58"/>
      <c r="CR294" s="58"/>
      <c r="CS294" s="58"/>
      <c r="CT294" s="15"/>
      <c r="CU294" s="16"/>
      <c r="CV294" s="16"/>
      <c r="CW294" s="16"/>
      <c r="CX294" s="15"/>
      <c r="CY294" s="16"/>
      <c r="CZ294" s="17"/>
    </row>
    <row r="295" spans="1:104" s="18" customFormat="1" ht="15" customHeight="1">
      <c r="A295" s="64"/>
      <c r="B295" s="76"/>
      <c r="C295" s="43"/>
      <c r="D295" s="57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"/>
      <c r="Z295" s="5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6"/>
      <c r="AR295" s="6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7"/>
      <c r="BF295" s="7"/>
      <c r="BG295" s="58"/>
      <c r="BH295" s="58"/>
      <c r="BI295" s="58"/>
      <c r="BJ295" s="58"/>
      <c r="BK295" s="58"/>
      <c r="BL295" s="58"/>
      <c r="BM295" s="58"/>
      <c r="BN295" s="58"/>
      <c r="BO295" s="8"/>
      <c r="BP295" s="8"/>
      <c r="BQ295" s="58"/>
      <c r="BR295" s="58"/>
      <c r="BS295" s="58"/>
      <c r="BT295" s="58"/>
      <c r="BU295" s="59"/>
      <c r="BV295" s="58"/>
      <c r="BW295" s="58"/>
      <c r="BX295" s="58"/>
      <c r="BY295" s="58"/>
      <c r="BZ295" s="60"/>
      <c r="CA295" s="58"/>
      <c r="CB295" s="58"/>
      <c r="CC295" s="58"/>
      <c r="CD295" s="58"/>
      <c r="CE295" s="61"/>
      <c r="CF295" s="58"/>
      <c r="CG295" s="58"/>
      <c r="CH295" s="58"/>
      <c r="CI295" s="58"/>
      <c r="CJ295" s="62"/>
      <c r="CK295" s="58"/>
      <c r="CL295" s="58"/>
      <c r="CM295" s="58"/>
      <c r="CN295" s="58"/>
      <c r="CO295" s="63"/>
      <c r="CP295" s="58"/>
      <c r="CQ295" s="58"/>
      <c r="CR295" s="58"/>
      <c r="CS295" s="58"/>
      <c r="CT295" s="15"/>
      <c r="CU295" s="16"/>
      <c r="CV295" s="16"/>
      <c r="CW295" s="16"/>
      <c r="CX295" s="15"/>
      <c r="CY295" s="16"/>
      <c r="CZ295" s="17"/>
    </row>
    <row r="296" spans="1:104" s="18" customFormat="1" ht="15" customHeight="1">
      <c r="A296" s="64"/>
      <c r="B296" s="75"/>
      <c r="C296" s="43"/>
      <c r="D296" s="57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"/>
      <c r="Z296" s="5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6"/>
      <c r="AR296" s="6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7"/>
      <c r="BF296" s="7"/>
      <c r="BG296" s="58"/>
      <c r="BH296" s="58"/>
      <c r="BI296" s="58"/>
      <c r="BJ296" s="58"/>
      <c r="BK296" s="58"/>
      <c r="BL296" s="58"/>
      <c r="BM296" s="58"/>
      <c r="BN296" s="58"/>
      <c r="BO296" s="8"/>
      <c r="BP296" s="8"/>
      <c r="BQ296" s="58"/>
      <c r="BR296" s="58"/>
      <c r="BS296" s="58"/>
      <c r="BT296" s="58"/>
      <c r="BU296" s="59"/>
      <c r="BV296" s="58"/>
      <c r="BW296" s="58"/>
      <c r="BX296" s="58"/>
      <c r="BY296" s="58"/>
      <c r="BZ296" s="60"/>
      <c r="CA296" s="58"/>
      <c r="CB296" s="58"/>
      <c r="CC296" s="58"/>
      <c r="CD296" s="58"/>
      <c r="CE296" s="61"/>
      <c r="CF296" s="58"/>
      <c r="CG296" s="58"/>
      <c r="CH296" s="58"/>
      <c r="CI296" s="58"/>
      <c r="CJ296" s="62"/>
      <c r="CK296" s="58"/>
      <c r="CL296" s="58"/>
      <c r="CM296" s="58"/>
      <c r="CN296" s="58"/>
      <c r="CO296" s="63"/>
      <c r="CP296" s="58"/>
      <c r="CQ296" s="58"/>
      <c r="CR296" s="58"/>
      <c r="CS296" s="58"/>
      <c r="CT296" s="15"/>
      <c r="CU296" s="16"/>
      <c r="CV296" s="16"/>
      <c r="CW296" s="16"/>
      <c r="CX296" s="15"/>
      <c r="CY296" s="16"/>
      <c r="CZ296" s="17"/>
    </row>
    <row r="297" spans="1:104" s="18" customFormat="1" ht="15" customHeight="1">
      <c r="A297" s="64"/>
      <c r="B297" s="75"/>
      <c r="C297" s="43"/>
      <c r="D297" s="57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"/>
      <c r="Z297" s="5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6"/>
      <c r="AR297" s="6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7"/>
      <c r="BF297" s="7"/>
      <c r="BG297" s="58"/>
      <c r="BH297" s="58"/>
      <c r="BI297" s="58"/>
      <c r="BJ297" s="58"/>
      <c r="BK297" s="58"/>
      <c r="BL297" s="58"/>
      <c r="BM297" s="58"/>
      <c r="BN297" s="58"/>
      <c r="BO297" s="8"/>
      <c r="BP297" s="8"/>
      <c r="BQ297" s="58"/>
      <c r="BR297" s="58"/>
      <c r="BS297" s="58"/>
      <c r="BT297" s="58"/>
      <c r="BU297" s="59"/>
      <c r="BV297" s="58"/>
      <c r="BW297" s="58"/>
      <c r="BX297" s="58"/>
      <c r="BY297" s="58"/>
      <c r="BZ297" s="60"/>
      <c r="CA297" s="58"/>
      <c r="CB297" s="58"/>
      <c r="CC297" s="58"/>
      <c r="CD297" s="58"/>
      <c r="CE297" s="61"/>
      <c r="CF297" s="58"/>
      <c r="CG297" s="58"/>
      <c r="CH297" s="58"/>
      <c r="CI297" s="58"/>
      <c r="CJ297" s="62"/>
      <c r="CK297" s="58"/>
      <c r="CL297" s="58"/>
      <c r="CM297" s="58"/>
      <c r="CN297" s="58"/>
      <c r="CO297" s="63"/>
      <c r="CP297" s="58"/>
      <c r="CQ297" s="58"/>
      <c r="CR297" s="58"/>
      <c r="CS297" s="58"/>
      <c r="CT297" s="15"/>
      <c r="CU297" s="16"/>
      <c r="CV297" s="16"/>
      <c r="CW297" s="16"/>
      <c r="CX297" s="15"/>
      <c r="CY297" s="16"/>
      <c r="CZ297" s="17"/>
    </row>
    <row r="298" spans="1:104" s="18" customFormat="1" ht="15" customHeight="1">
      <c r="A298" s="64"/>
      <c r="B298" s="77"/>
      <c r="C298" s="43"/>
      <c r="D298" s="57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"/>
      <c r="Z298" s="5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6"/>
      <c r="AR298" s="6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7"/>
      <c r="BF298" s="7"/>
      <c r="BG298" s="58"/>
      <c r="BH298" s="58"/>
      <c r="BI298" s="58"/>
      <c r="BJ298" s="58"/>
      <c r="BK298" s="58"/>
      <c r="BL298" s="58"/>
      <c r="BM298" s="58"/>
      <c r="BN298" s="58"/>
      <c r="BO298" s="8"/>
      <c r="BP298" s="8"/>
      <c r="BQ298" s="58"/>
      <c r="BR298" s="58"/>
      <c r="BS298" s="58"/>
      <c r="BT298" s="58"/>
      <c r="BU298" s="59"/>
      <c r="BV298" s="58"/>
      <c r="BW298" s="58"/>
      <c r="BX298" s="58"/>
      <c r="BY298" s="58"/>
      <c r="BZ298" s="60"/>
      <c r="CA298" s="58"/>
      <c r="CB298" s="58"/>
      <c r="CC298" s="58"/>
      <c r="CD298" s="58"/>
      <c r="CE298" s="61"/>
      <c r="CF298" s="58"/>
      <c r="CG298" s="58"/>
      <c r="CH298" s="58"/>
      <c r="CI298" s="58"/>
      <c r="CJ298" s="62"/>
      <c r="CK298" s="58"/>
      <c r="CL298" s="58"/>
      <c r="CM298" s="58"/>
      <c r="CN298" s="58"/>
      <c r="CO298" s="63"/>
      <c r="CP298" s="58"/>
      <c r="CQ298" s="58"/>
      <c r="CR298" s="58"/>
      <c r="CS298" s="58"/>
      <c r="CT298" s="15"/>
      <c r="CU298" s="16"/>
      <c r="CV298" s="16"/>
      <c r="CW298" s="16"/>
      <c r="CX298" s="15"/>
      <c r="CY298" s="16"/>
      <c r="CZ298" s="17"/>
    </row>
    <row r="299" spans="1:104" s="18" customFormat="1" ht="15" customHeight="1">
      <c r="A299" s="64"/>
      <c r="B299" s="75"/>
      <c r="C299" s="43"/>
      <c r="D299" s="57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"/>
      <c r="Z299" s="5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6"/>
      <c r="AR299" s="6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7"/>
      <c r="BF299" s="7"/>
      <c r="BG299" s="58"/>
      <c r="BH299" s="58"/>
      <c r="BI299" s="58"/>
      <c r="BJ299" s="58"/>
      <c r="BK299" s="58"/>
      <c r="BL299" s="58"/>
      <c r="BM299" s="58"/>
      <c r="BN299" s="58"/>
      <c r="BO299" s="8"/>
      <c r="BP299" s="8"/>
      <c r="BQ299" s="58"/>
      <c r="BR299" s="58"/>
      <c r="BS299" s="58"/>
      <c r="BT299" s="58"/>
      <c r="BU299" s="59"/>
      <c r="BV299" s="58"/>
      <c r="BW299" s="58"/>
      <c r="BX299" s="58"/>
      <c r="BY299" s="58"/>
      <c r="BZ299" s="60"/>
      <c r="CA299" s="58"/>
      <c r="CB299" s="58"/>
      <c r="CC299" s="58"/>
      <c r="CD299" s="58"/>
      <c r="CE299" s="61"/>
      <c r="CF299" s="58"/>
      <c r="CG299" s="58"/>
      <c r="CH299" s="58"/>
      <c r="CI299" s="58"/>
      <c r="CJ299" s="62"/>
      <c r="CK299" s="58"/>
      <c r="CL299" s="58"/>
      <c r="CM299" s="58"/>
      <c r="CN299" s="58"/>
      <c r="CO299" s="63"/>
      <c r="CP299" s="58"/>
      <c r="CQ299" s="58"/>
      <c r="CR299" s="58"/>
      <c r="CS299" s="58"/>
      <c r="CT299" s="15"/>
      <c r="CU299" s="16"/>
      <c r="CV299" s="16"/>
      <c r="CW299" s="16"/>
      <c r="CX299" s="15"/>
      <c r="CY299" s="16"/>
      <c r="CZ299" s="17"/>
    </row>
    <row r="300" spans="1:104" s="18" customFormat="1" ht="15" customHeight="1">
      <c r="A300" s="64"/>
      <c r="B300" s="75"/>
      <c r="C300" s="43"/>
      <c r="D300" s="57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"/>
      <c r="Z300" s="5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6"/>
      <c r="AR300" s="6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7"/>
      <c r="BF300" s="7"/>
      <c r="BG300" s="58"/>
      <c r="BH300" s="58"/>
      <c r="BI300" s="58"/>
      <c r="BJ300" s="58"/>
      <c r="BK300" s="58"/>
      <c r="BL300" s="58"/>
      <c r="BM300" s="58"/>
      <c r="BN300" s="58"/>
      <c r="BO300" s="8"/>
      <c r="BP300" s="8"/>
      <c r="BQ300" s="58"/>
      <c r="BR300" s="58"/>
      <c r="BS300" s="58"/>
      <c r="BT300" s="58"/>
      <c r="BU300" s="59"/>
      <c r="BV300" s="58"/>
      <c r="BW300" s="58"/>
      <c r="BX300" s="58"/>
      <c r="BY300" s="58"/>
      <c r="BZ300" s="60"/>
      <c r="CA300" s="58"/>
      <c r="CB300" s="58"/>
      <c r="CC300" s="58"/>
      <c r="CD300" s="58"/>
      <c r="CE300" s="61"/>
      <c r="CF300" s="58"/>
      <c r="CG300" s="58"/>
      <c r="CH300" s="58"/>
      <c r="CI300" s="58"/>
      <c r="CJ300" s="62"/>
      <c r="CK300" s="58"/>
      <c r="CL300" s="58"/>
      <c r="CM300" s="58"/>
      <c r="CN300" s="58"/>
      <c r="CO300" s="63"/>
      <c r="CP300" s="58"/>
      <c r="CQ300" s="58"/>
      <c r="CR300" s="58"/>
      <c r="CS300" s="58"/>
      <c r="CT300" s="15"/>
      <c r="CU300" s="16"/>
      <c r="CV300" s="16"/>
      <c r="CW300" s="16"/>
      <c r="CX300" s="15"/>
      <c r="CY300" s="16"/>
      <c r="CZ300" s="17"/>
    </row>
    <row r="301" spans="1:104" s="18" customFormat="1" ht="15" customHeight="1">
      <c r="A301" s="64"/>
      <c r="B301" s="75"/>
      <c r="C301" s="43"/>
      <c r="D301" s="57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"/>
      <c r="Z301" s="5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6"/>
      <c r="AR301" s="6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7"/>
      <c r="BF301" s="7"/>
      <c r="BG301" s="58"/>
      <c r="BH301" s="58"/>
      <c r="BI301" s="58"/>
      <c r="BJ301" s="58"/>
      <c r="BK301" s="58"/>
      <c r="BL301" s="58"/>
      <c r="BM301" s="58"/>
      <c r="BN301" s="58"/>
      <c r="BO301" s="8"/>
      <c r="BP301" s="8"/>
      <c r="BQ301" s="58"/>
      <c r="BR301" s="58"/>
      <c r="BS301" s="58"/>
      <c r="BT301" s="58"/>
      <c r="BU301" s="59"/>
      <c r="BV301" s="58"/>
      <c r="BW301" s="58"/>
      <c r="BX301" s="58"/>
      <c r="BY301" s="58"/>
      <c r="BZ301" s="60"/>
      <c r="CA301" s="58"/>
      <c r="CB301" s="58"/>
      <c r="CC301" s="58"/>
      <c r="CD301" s="58"/>
      <c r="CE301" s="61"/>
      <c r="CF301" s="58"/>
      <c r="CG301" s="58"/>
      <c r="CH301" s="58"/>
      <c r="CI301" s="58"/>
      <c r="CJ301" s="62"/>
      <c r="CK301" s="58"/>
      <c r="CL301" s="58"/>
      <c r="CM301" s="58"/>
      <c r="CN301" s="58"/>
      <c r="CO301" s="63"/>
      <c r="CP301" s="58"/>
      <c r="CQ301" s="58"/>
      <c r="CR301" s="58"/>
      <c r="CS301" s="58"/>
      <c r="CT301" s="15"/>
      <c r="CU301" s="16"/>
      <c r="CV301" s="16"/>
      <c r="CW301" s="16"/>
      <c r="CX301" s="15"/>
      <c r="CY301" s="16"/>
      <c r="CZ301" s="17"/>
    </row>
    <row r="302" spans="1:104" s="18" customFormat="1" ht="15" customHeight="1">
      <c r="A302" s="64"/>
      <c r="B302" s="75"/>
      <c r="C302" s="43"/>
      <c r="D302" s="57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"/>
      <c r="Z302" s="5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6"/>
      <c r="AR302" s="6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7"/>
      <c r="BF302" s="7"/>
      <c r="BG302" s="58"/>
      <c r="BH302" s="58"/>
      <c r="BI302" s="58"/>
      <c r="BJ302" s="58"/>
      <c r="BK302" s="58"/>
      <c r="BL302" s="58"/>
      <c r="BM302" s="58"/>
      <c r="BN302" s="58"/>
      <c r="BO302" s="8"/>
      <c r="BP302" s="8"/>
      <c r="BQ302" s="58"/>
      <c r="BR302" s="58"/>
      <c r="BS302" s="58"/>
      <c r="BT302" s="58"/>
      <c r="BU302" s="59"/>
      <c r="BV302" s="58"/>
      <c r="BW302" s="58"/>
      <c r="BX302" s="58"/>
      <c r="BY302" s="58"/>
      <c r="BZ302" s="60"/>
      <c r="CA302" s="58"/>
      <c r="CB302" s="58"/>
      <c r="CC302" s="58"/>
      <c r="CD302" s="58"/>
      <c r="CE302" s="61"/>
      <c r="CF302" s="58"/>
      <c r="CG302" s="58"/>
      <c r="CH302" s="58"/>
      <c r="CI302" s="58"/>
      <c r="CJ302" s="62"/>
      <c r="CK302" s="58"/>
      <c r="CL302" s="58"/>
      <c r="CM302" s="58"/>
      <c r="CN302" s="58"/>
      <c r="CO302" s="63"/>
      <c r="CP302" s="58"/>
      <c r="CQ302" s="58"/>
      <c r="CR302" s="58"/>
      <c r="CS302" s="58"/>
      <c r="CT302" s="15"/>
      <c r="CU302" s="16"/>
      <c r="CV302" s="16"/>
      <c r="CW302" s="16"/>
      <c r="CX302" s="15"/>
      <c r="CY302" s="16"/>
      <c r="CZ302" s="17"/>
    </row>
    <row r="303" spans="1:104" s="18" customFormat="1" ht="15" customHeight="1">
      <c r="A303" s="64"/>
      <c r="B303" s="75"/>
      <c r="C303" s="43"/>
      <c r="D303" s="57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"/>
      <c r="Z303" s="5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6"/>
      <c r="AR303" s="6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7"/>
      <c r="BF303" s="7"/>
      <c r="BG303" s="58"/>
      <c r="BH303" s="58"/>
      <c r="BI303" s="58"/>
      <c r="BJ303" s="58"/>
      <c r="BK303" s="58"/>
      <c r="BL303" s="58"/>
      <c r="BM303" s="58"/>
      <c r="BN303" s="58"/>
      <c r="BO303" s="8"/>
      <c r="BP303" s="8"/>
      <c r="BQ303" s="58"/>
      <c r="BR303" s="58"/>
      <c r="BS303" s="58"/>
      <c r="BT303" s="58"/>
      <c r="BU303" s="59"/>
      <c r="BV303" s="58"/>
      <c r="BW303" s="58"/>
      <c r="BX303" s="58"/>
      <c r="BY303" s="58"/>
      <c r="BZ303" s="60"/>
      <c r="CA303" s="58"/>
      <c r="CB303" s="58"/>
      <c r="CC303" s="58"/>
      <c r="CD303" s="58"/>
      <c r="CE303" s="61"/>
      <c r="CF303" s="58"/>
      <c r="CG303" s="58"/>
      <c r="CH303" s="58"/>
      <c r="CI303" s="58"/>
      <c r="CJ303" s="62"/>
      <c r="CK303" s="58"/>
      <c r="CL303" s="58"/>
      <c r="CM303" s="58"/>
      <c r="CN303" s="58"/>
      <c r="CO303" s="63"/>
      <c r="CP303" s="58"/>
      <c r="CQ303" s="58"/>
      <c r="CR303" s="58"/>
      <c r="CS303" s="58"/>
      <c r="CT303" s="15"/>
      <c r="CU303" s="16"/>
      <c r="CV303" s="16"/>
      <c r="CW303" s="16"/>
      <c r="CX303" s="15"/>
      <c r="CY303" s="16"/>
      <c r="CZ303" s="17"/>
    </row>
    <row r="304" spans="1:104" s="18" customFormat="1" ht="15" customHeight="1">
      <c r="A304" s="64"/>
      <c r="B304" s="75"/>
      <c r="C304" s="43"/>
      <c r="D304" s="57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"/>
      <c r="Z304" s="5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6"/>
      <c r="AR304" s="6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7"/>
      <c r="BF304" s="7"/>
      <c r="BG304" s="58"/>
      <c r="BH304" s="58"/>
      <c r="BI304" s="58"/>
      <c r="BJ304" s="58"/>
      <c r="BK304" s="58"/>
      <c r="BL304" s="58"/>
      <c r="BM304" s="58"/>
      <c r="BN304" s="58"/>
      <c r="BO304" s="8"/>
      <c r="BP304" s="8"/>
      <c r="BQ304" s="58"/>
      <c r="BR304" s="58"/>
      <c r="BS304" s="58"/>
      <c r="BT304" s="58"/>
      <c r="BU304" s="59"/>
      <c r="BV304" s="58"/>
      <c r="BW304" s="58"/>
      <c r="BX304" s="58"/>
      <c r="BY304" s="58"/>
      <c r="BZ304" s="60"/>
      <c r="CA304" s="58"/>
      <c r="CB304" s="58"/>
      <c r="CC304" s="58"/>
      <c r="CD304" s="58"/>
      <c r="CE304" s="61"/>
      <c r="CF304" s="58"/>
      <c r="CG304" s="58"/>
      <c r="CH304" s="58"/>
      <c r="CI304" s="58"/>
      <c r="CJ304" s="62"/>
      <c r="CK304" s="58"/>
      <c r="CL304" s="58"/>
      <c r="CM304" s="58"/>
      <c r="CN304" s="58"/>
      <c r="CO304" s="63"/>
      <c r="CP304" s="58"/>
      <c r="CQ304" s="58"/>
      <c r="CR304" s="58"/>
      <c r="CS304" s="58"/>
      <c r="CT304" s="15"/>
      <c r="CU304" s="16"/>
      <c r="CV304" s="16"/>
      <c r="CW304" s="16"/>
      <c r="CX304" s="15"/>
      <c r="CY304" s="16"/>
      <c r="CZ304" s="17"/>
    </row>
    <row r="305" spans="1:104" s="18" customFormat="1" ht="15" customHeight="1">
      <c r="A305" s="64"/>
      <c r="B305" s="75"/>
      <c r="C305" s="43"/>
      <c r="D305" s="57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"/>
      <c r="Z305" s="5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6"/>
      <c r="AR305" s="6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7"/>
      <c r="BF305" s="7"/>
      <c r="BG305" s="58"/>
      <c r="BH305" s="58"/>
      <c r="BI305" s="58"/>
      <c r="BJ305" s="58"/>
      <c r="BK305" s="58"/>
      <c r="BL305" s="58"/>
      <c r="BM305" s="58"/>
      <c r="BN305" s="58"/>
      <c r="BO305" s="8"/>
      <c r="BP305" s="8"/>
      <c r="BQ305" s="58"/>
      <c r="BR305" s="58"/>
      <c r="BS305" s="58"/>
      <c r="BT305" s="58"/>
      <c r="BU305" s="59"/>
      <c r="BV305" s="58"/>
      <c r="BW305" s="58"/>
      <c r="BX305" s="58"/>
      <c r="BY305" s="58"/>
      <c r="BZ305" s="60"/>
      <c r="CA305" s="58"/>
      <c r="CB305" s="58"/>
      <c r="CC305" s="58"/>
      <c r="CD305" s="58"/>
      <c r="CE305" s="61"/>
      <c r="CF305" s="58"/>
      <c r="CG305" s="58"/>
      <c r="CH305" s="58"/>
      <c r="CI305" s="58"/>
      <c r="CJ305" s="62"/>
      <c r="CK305" s="58"/>
      <c r="CL305" s="58"/>
      <c r="CM305" s="58"/>
      <c r="CN305" s="58"/>
      <c r="CO305" s="63"/>
      <c r="CP305" s="58"/>
      <c r="CQ305" s="58"/>
      <c r="CR305" s="58"/>
      <c r="CS305" s="58"/>
      <c r="CT305" s="15"/>
      <c r="CU305" s="16"/>
      <c r="CV305" s="16"/>
      <c r="CW305" s="16"/>
      <c r="CX305" s="15"/>
      <c r="CY305" s="16"/>
      <c r="CZ305" s="17"/>
    </row>
    <row r="306" spans="1:104" s="18" customFormat="1" ht="15" customHeight="1">
      <c r="A306" s="64"/>
      <c r="B306" s="74"/>
      <c r="C306" s="43"/>
      <c r="D306" s="57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"/>
      <c r="Z306" s="5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6"/>
      <c r="AR306" s="6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7"/>
      <c r="BF306" s="7"/>
      <c r="BG306" s="58"/>
      <c r="BH306" s="58"/>
      <c r="BI306" s="58"/>
      <c r="BJ306" s="58"/>
      <c r="BK306" s="58"/>
      <c r="BL306" s="58"/>
      <c r="BM306" s="58"/>
      <c r="BN306" s="58"/>
      <c r="BO306" s="8"/>
      <c r="BP306" s="8"/>
      <c r="BQ306" s="58"/>
      <c r="BR306" s="58"/>
      <c r="BS306" s="58"/>
      <c r="BT306" s="58"/>
      <c r="BU306" s="59"/>
      <c r="BV306" s="58"/>
      <c r="BW306" s="58"/>
      <c r="BX306" s="58"/>
      <c r="BY306" s="58"/>
      <c r="BZ306" s="60"/>
      <c r="CA306" s="58"/>
      <c r="CB306" s="58"/>
      <c r="CC306" s="58"/>
      <c r="CD306" s="58"/>
      <c r="CE306" s="61"/>
      <c r="CF306" s="58"/>
      <c r="CG306" s="58"/>
      <c r="CH306" s="58"/>
      <c r="CI306" s="58"/>
      <c r="CJ306" s="62"/>
      <c r="CK306" s="58"/>
      <c r="CL306" s="58"/>
      <c r="CM306" s="58"/>
      <c r="CN306" s="58"/>
      <c r="CO306" s="63"/>
      <c r="CP306" s="58"/>
      <c r="CQ306" s="58"/>
      <c r="CR306" s="58"/>
      <c r="CS306" s="58"/>
      <c r="CT306" s="15"/>
      <c r="CU306" s="16"/>
      <c r="CV306" s="16"/>
      <c r="CW306" s="16"/>
      <c r="CX306" s="15"/>
      <c r="CY306" s="16"/>
      <c r="CZ306" s="17"/>
    </row>
    <row r="307" spans="1:104" s="18" customFormat="1" ht="15" customHeight="1">
      <c r="A307" s="64"/>
      <c r="B307" s="75"/>
      <c r="C307" s="43"/>
      <c r="D307" s="57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"/>
      <c r="Z307" s="5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6"/>
      <c r="AR307" s="6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7"/>
      <c r="BF307" s="7"/>
      <c r="BG307" s="58"/>
      <c r="BH307" s="58"/>
      <c r="BI307" s="58"/>
      <c r="BJ307" s="58"/>
      <c r="BK307" s="58"/>
      <c r="BL307" s="58"/>
      <c r="BM307" s="58"/>
      <c r="BN307" s="58"/>
      <c r="BO307" s="8"/>
      <c r="BP307" s="8"/>
      <c r="BQ307" s="58"/>
      <c r="BR307" s="58"/>
      <c r="BS307" s="58"/>
      <c r="BT307" s="58"/>
      <c r="BU307" s="59"/>
      <c r="BV307" s="58"/>
      <c r="BW307" s="58"/>
      <c r="BX307" s="58"/>
      <c r="BY307" s="58"/>
      <c r="BZ307" s="60"/>
      <c r="CA307" s="58"/>
      <c r="CB307" s="58"/>
      <c r="CC307" s="58"/>
      <c r="CD307" s="58"/>
      <c r="CE307" s="61"/>
      <c r="CF307" s="58"/>
      <c r="CG307" s="58"/>
      <c r="CH307" s="58"/>
      <c r="CI307" s="58"/>
      <c r="CJ307" s="62"/>
      <c r="CK307" s="58"/>
      <c r="CL307" s="58"/>
      <c r="CM307" s="58"/>
      <c r="CN307" s="58"/>
      <c r="CO307" s="63"/>
      <c r="CP307" s="58"/>
      <c r="CQ307" s="58"/>
      <c r="CR307" s="58"/>
      <c r="CS307" s="58"/>
      <c r="CT307" s="15"/>
      <c r="CU307" s="16"/>
      <c r="CV307" s="16"/>
      <c r="CW307" s="16"/>
      <c r="CX307" s="15"/>
      <c r="CY307" s="16"/>
      <c r="CZ307" s="17"/>
    </row>
    <row r="308" spans="1:104" s="18" customFormat="1" ht="15" customHeight="1">
      <c r="A308" s="64"/>
      <c r="B308" s="75"/>
      <c r="C308" s="43"/>
      <c r="D308" s="57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"/>
      <c r="Z308" s="5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6"/>
      <c r="AR308" s="6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7"/>
      <c r="BF308" s="7"/>
      <c r="BG308" s="58"/>
      <c r="BH308" s="58"/>
      <c r="BI308" s="58"/>
      <c r="BJ308" s="58"/>
      <c r="BK308" s="58"/>
      <c r="BL308" s="58"/>
      <c r="BM308" s="58"/>
      <c r="BN308" s="58"/>
      <c r="BO308" s="8"/>
      <c r="BP308" s="8"/>
      <c r="BQ308" s="58"/>
      <c r="BR308" s="58"/>
      <c r="BS308" s="58"/>
      <c r="BT308" s="58"/>
      <c r="BU308" s="59"/>
      <c r="BV308" s="58"/>
      <c r="BW308" s="58"/>
      <c r="BX308" s="58"/>
      <c r="BY308" s="58"/>
      <c r="BZ308" s="60"/>
      <c r="CA308" s="58"/>
      <c r="CB308" s="58"/>
      <c r="CC308" s="58"/>
      <c r="CD308" s="58"/>
      <c r="CE308" s="61"/>
      <c r="CF308" s="58"/>
      <c r="CG308" s="58"/>
      <c r="CH308" s="58"/>
      <c r="CI308" s="58"/>
      <c r="CJ308" s="62"/>
      <c r="CK308" s="58"/>
      <c r="CL308" s="58"/>
      <c r="CM308" s="58"/>
      <c r="CN308" s="58"/>
      <c r="CO308" s="63"/>
      <c r="CP308" s="58"/>
      <c r="CQ308" s="58"/>
      <c r="CR308" s="58"/>
      <c r="CS308" s="58"/>
      <c r="CT308" s="15"/>
      <c r="CU308" s="16"/>
      <c r="CV308" s="16"/>
      <c r="CW308" s="16"/>
      <c r="CX308" s="15"/>
      <c r="CY308" s="16"/>
      <c r="CZ308" s="17"/>
    </row>
    <row r="309" spans="1:104" s="18" customFormat="1" ht="15" customHeight="1">
      <c r="A309" s="64"/>
      <c r="B309" s="75"/>
      <c r="C309" s="43"/>
      <c r="D309" s="57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"/>
      <c r="Z309" s="5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6"/>
      <c r="AR309" s="6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7"/>
      <c r="BF309" s="7"/>
      <c r="BG309" s="58"/>
      <c r="BH309" s="58"/>
      <c r="BI309" s="58"/>
      <c r="BJ309" s="58"/>
      <c r="BK309" s="58"/>
      <c r="BL309" s="58"/>
      <c r="BM309" s="58"/>
      <c r="BN309" s="58"/>
      <c r="BO309" s="8"/>
      <c r="BP309" s="8"/>
      <c r="BQ309" s="58"/>
      <c r="BR309" s="58"/>
      <c r="BS309" s="58"/>
      <c r="BT309" s="58"/>
      <c r="BU309" s="59"/>
      <c r="BV309" s="58"/>
      <c r="BW309" s="58"/>
      <c r="BX309" s="58"/>
      <c r="BY309" s="58"/>
      <c r="BZ309" s="60"/>
      <c r="CA309" s="58"/>
      <c r="CB309" s="58"/>
      <c r="CC309" s="58"/>
      <c r="CD309" s="58"/>
      <c r="CE309" s="61"/>
      <c r="CF309" s="58"/>
      <c r="CG309" s="58"/>
      <c r="CH309" s="58"/>
      <c r="CI309" s="58"/>
      <c r="CJ309" s="62"/>
      <c r="CK309" s="58"/>
      <c r="CL309" s="58"/>
      <c r="CM309" s="58"/>
      <c r="CN309" s="58"/>
      <c r="CO309" s="63"/>
      <c r="CP309" s="58"/>
      <c r="CQ309" s="58"/>
      <c r="CR309" s="58"/>
      <c r="CS309" s="58"/>
      <c r="CT309" s="15"/>
      <c r="CU309" s="16"/>
      <c r="CV309" s="16"/>
      <c r="CW309" s="16"/>
      <c r="CX309" s="15"/>
      <c r="CY309" s="16"/>
      <c r="CZ309" s="17"/>
    </row>
    <row r="310" spans="1:104" s="18" customFormat="1" ht="15" customHeight="1">
      <c r="A310" s="64"/>
      <c r="B310" s="78"/>
      <c r="C310" s="43"/>
      <c r="D310" s="57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"/>
      <c r="Z310" s="5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6"/>
      <c r="AR310" s="6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7"/>
      <c r="BF310" s="7"/>
      <c r="BG310" s="58"/>
      <c r="BH310" s="58"/>
      <c r="BI310" s="58"/>
      <c r="BJ310" s="58"/>
      <c r="BK310" s="58"/>
      <c r="BL310" s="58"/>
      <c r="BM310" s="58"/>
      <c r="BN310" s="58"/>
      <c r="BO310" s="8"/>
      <c r="BP310" s="8"/>
      <c r="BQ310" s="58"/>
      <c r="BR310" s="58"/>
      <c r="BS310" s="58"/>
      <c r="BT310" s="58"/>
      <c r="BU310" s="59"/>
      <c r="BV310" s="58"/>
      <c r="BW310" s="58"/>
      <c r="BX310" s="58"/>
      <c r="BY310" s="58"/>
      <c r="BZ310" s="60"/>
      <c r="CA310" s="58"/>
      <c r="CB310" s="58"/>
      <c r="CC310" s="58"/>
      <c r="CD310" s="58"/>
      <c r="CE310" s="61"/>
      <c r="CF310" s="58"/>
      <c r="CG310" s="58"/>
      <c r="CH310" s="58"/>
      <c r="CI310" s="58"/>
      <c r="CJ310" s="62"/>
      <c r="CK310" s="58"/>
      <c r="CL310" s="58"/>
      <c r="CM310" s="58"/>
      <c r="CN310" s="58"/>
      <c r="CO310" s="63"/>
      <c r="CP310" s="58"/>
      <c r="CQ310" s="58"/>
      <c r="CR310" s="58"/>
      <c r="CS310" s="58"/>
      <c r="CT310" s="15"/>
      <c r="CU310" s="16"/>
      <c r="CV310" s="16"/>
      <c r="CW310" s="16"/>
      <c r="CX310" s="15"/>
      <c r="CY310" s="16"/>
      <c r="CZ310" s="17"/>
    </row>
    <row r="311" spans="1:104" s="18" customFormat="1" ht="15" customHeight="1">
      <c r="A311" s="64"/>
      <c r="B311" s="75"/>
      <c r="C311" s="43"/>
      <c r="D311" s="57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"/>
      <c r="Z311" s="5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6"/>
      <c r="AR311" s="6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7"/>
      <c r="BF311" s="7"/>
      <c r="BG311" s="58"/>
      <c r="BH311" s="58"/>
      <c r="BI311" s="58"/>
      <c r="BJ311" s="58"/>
      <c r="BK311" s="58"/>
      <c r="BL311" s="58"/>
      <c r="BM311" s="58"/>
      <c r="BN311" s="58"/>
      <c r="BO311" s="8"/>
      <c r="BP311" s="8"/>
      <c r="BQ311" s="58"/>
      <c r="BR311" s="58"/>
      <c r="BS311" s="58"/>
      <c r="BT311" s="58"/>
      <c r="BU311" s="59"/>
      <c r="BV311" s="58"/>
      <c r="BW311" s="58"/>
      <c r="BX311" s="58"/>
      <c r="BY311" s="58"/>
      <c r="BZ311" s="60"/>
      <c r="CA311" s="58"/>
      <c r="CB311" s="58"/>
      <c r="CC311" s="58"/>
      <c r="CD311" s="58"/>
      <c r="CE311" s="61"/>
      <c r="CF311" s="58"/>
      <c r="CG311" s="58"/>
      <c r="CH311" s="58"/>
      <c r="CI311" s="58"/>
      <c r="CJ311" s="62"/>
      <c r="CK311" s="58"/>
      <c r="CL311" s="58"/>
      <c r="CM311" s="58"/>
      <c r="CN311" s="58"/>
      <c r="CO311" s="63"/>
      <c r="CP311" s="58"/>
      <c r="CQ311" s="58"/>
      <c r="CR311" s="58"/>
      <c r="CS311" s="58"/>
      <c r="CT311" s="15"/>
      <c r="CU311" s="16"/>
      <c r="CV311" s="16"/>
      <c r="CW311" s="16"/>
      <c r="CX311" s="15"/>
      <c r="CY311" s="16"/>
      <c r="CZ311" s="17"/>
    </row>
    <row r="312" spans="1:104" s="18" customFormat="1" ht="15" customHeight="1">
      <c r="A312" s="64"/>
      <c r="B312" s="79"/>
      <c r="C312" s="43"/>
      <c r="D312" s="57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"/>
      <c r="Z312" s="5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6"/>
      <c r="AR312" s="6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7"/>
      <c r="BF312" s="7"/>
      <c r="BG312" s="58"/>
      <c r="BH312" s="58"/>
      <c r="BI312" s="58"/>
      <c r="BJ312" s="58"/>
      <c r="BK312" s="58"/>
      <c r="BL312" s="58"/>
      <c r="BM312" s="58"/>
      <c r="BN312" s="58"/>
      <c r="BO312" s="8"/>
      <c r="BP312" s="8"/>
      <c r="BQ312" s="58"/>
      <c r="BR312" s="58"/>
      <c r="BS312" s="58"/>
      <c r="BT312" s="58"/>
      <c r="BU312" s="59"/>
      <c r="BV312" s="58"/>
      <c r="BW312" s="58"/>
      <c r="BX312" s="58"/>
      <c r="BY312" s="58"/>
      <c r="BZ312" s="60"/>
      <c r="CA312" s="58"/>
      <c r="CB312" s="58"/>
      <c r="CC312" s="58"/>
      <c r="CD312" s="58"/>
      <c r="CE312" s="61"/>
      <c r="CF312" s="58"/>
      <c r="CG312" s="58"/>
      <c r="CH312" s="58"/>
      <c r="CI312" s="58"/>
      <c r="CJ312" s="62"/>
      <c r="CK312" s="58"/>
      <c r="CL312" s="58"/>
      <c r="CM312" s="58"/>
      <c r="CN312" s="58"/>
      <c r="CO312" s="63"/>
      <c r="CP312" s="58"/>
      <c r="CQ312" s="58"/>
      <c r="CR312" s="58"/>
      <c r="CS312" s="58"/>
      <c r="CT312" s="15"/>
      <c r="CU312" s="16"/>
      <c r="CV312" s="16"/>
      <c r="CW312" s="16"/>
      <c r="CX312" s="15"/>
      <c r="CY312" s="16"/>
      <c r="CZ312" s="17"/>
    </row>
    <row r="313" spans="1:104" s="18" customFormat="1" ht="15" customHeight="1">
      <c r="A313" s="64"/>
      <c r="B313" s="78"/>
      <c r="C313" s="43"/>
      <c r="D313" s="57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"/>
      <c r="Z313" s="5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6"/>
      <c r="AR313" s="6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7"/>
      <c r="BF313" s="7"/>
      <c r="BG313" s="58"/>
      <c r="BH313" s="58"/>
      <c r="BI313" s="58"/>
      <c r="BJ313" s="58"/>
      <c r="BK313" s="58"/>
      <c r="BL313" s="58"/>
      <c r="BM313" s="58"/>
      <c r="BN313" s="58"/>
      <c r="BO313" s="8"/>
      <c r="BP313" s="8"/>
      <c r="BQ313" s="58"/>
      <c r="BR313" s="58"/>
      <c r="BS313" s="58"/>
      <c r="BT313" s="58"/>
      <c r="BU313" s="59"/>
      <c r="BV313" s="58"/>
      <c r="BW313" s="58"/>
      <c r="BX313" s="58"/>
      <c r="BY313" s="58"/>
      <c r="BZ313" s="60"/>
      <c r="CA313" s="58"/>
      <c r="CB313" s="58"/>
      <c r="CC313" s="58"/>
      <c r="CD313" s="58"/>
      <c r="CE313" s="61"/>
      <c r="CF313" s="58"/>
      <c r="CG313" s="58"/>
      <c r="CH313" s="58"/>
      <c r="CI313" s="58"/>
      <c r="CJ313" s="62"/>
      <c r="CK313" s="58"/>
      <c r="CL313" s="58"/>
      <c r="CM313" s="58"/>
      <c r="CN313" s="58"/>
      <c r="CO313" s="63"/>
      <c r="CP313" s="58"/>
      <c r="CQ313" s="58"/>
      <c r="CR313" s="58"/>
      <c r="CS313" s="58"/>
      <c r="CT313" s="15"/>
      <c r="CU313" s="16"/>
      <c r="CV313" s="16"/>
      <c r="CW313" s="16"/>
      <c r="CX313" s="15"/>
      <c r="CY313" s="16"/>
      <c r="CZ313" s="17"/>
    </row>
    <row r="314" spans="1:104" s="18" customFormat="1" ht="15" customHeight="1">
      <c r="A314" s="64"/>
      <c r="B314" s="76"/>
      <c r="C314" s="43"/>
      <c r="D314" s="57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"/>
      <c r="Z314" s="5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6"/>
      <c r="AR314" s="6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7"/>
      <c r="BF314" s="7"/>
      <c r="BG314" s="58"/>
      <c r="BH314" s="58"/>
      <c r="BI314" s="58"/>
      <c r="BJ314" s="58"/>
      <c r="BK314" s="58"/>
      <c r="BL314" s="58"/>
      <c r="BM314" s="58"/>
      <c r="BN314" s="58"/>
      <c r="BO314" s="8"/>
      <c r="BP314" s="8"/>
      <c r="BQ314" s="58"/>
      <c r="BR314" s="58"/>
      <c r="BS314" s="58"/>
      <c r="BT314" s="58"/>
      <c r="BU314" s="59"/>
      <c r="BV314" s="58"/>
      <c r="BW314" s="58"/>
      <c r="BX314" s="58"/>
      <c r="BY314" s="58"/>
      <c r="BZ314" s="60"/>
      <c r="CA314" s="58"/>
      <c r="CB314" s="58"/>
      <c r="CC314" s="58"/>
      <c r="CD314" s="58"/>
      <c r="CE314" s="61"/>
      <c r="CF314" s="58"/>
      <c r="CG314" s="58"/>
      <c r="CH314" s="58"/>
      <c r="CI314" s="58"/>
      <c r="CJ314" s="62"/>
      <c r="CK314" s="58"/>
      <c r="CL314" s="58"/>
      <c r="CM314" s="58"/>
      <c r="CN314" s="58"/>
      <c r="CO314" s="63"/>
      <c r="CP314" s="58"/>
      <c r="CQ314" s="58"/>
      <c r="CR314" s="58"/>
      <c r="CS314" s="58"/>
      <c r="CT314" s="15"/>
      <c r="CU314" s="16"/>
      <c r="CV314" s="16"/>
      <c r="CW314" s="16"/>
      <c r="CX314" s="15"/>
      <c r="CY314" s="16"/>
      <c r="CZ314" s="17"/>
    </row>
    <row r="315" spans="1:104" s="18" customFormat="1" ht="15" customHeight="1">
      <c r="A315" s="64"/>
      <c r="B315" s="79"/>
      <c r="C315" s="43"/>
      <c r="D315" s="57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"/>
      <c r="Z315" s="5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6"/>
      <c r="AR315" s="6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7"/>
      <c r="BF315" s="7"/>
      <c r="BG315" s="58"/>
      <c r="BH315" s="58"/>
      <c r="BI315" s="58"/>
      <c r="BJ315" s="58"/>
      <c r="BK315" s="58"/>
      <c r="BL315" s="58"/>
      <c r="BM315" s="58"/>
      <c r="BN315" s="58"/>
      <c r="BO315" s="8"/>
      <c r="BP315" s="8"/>
      <c r="BQ315" s="58"/>
      <c r="BR315" s="58"/>
      <c r="BS315" s="58"/>
      <c r="BT315" s="58"/>
      <c r="BU315" s="59"/>
      <c r="BV315" s="58"/>
      <c r="BW315" s="58"/>
      <c r="BX315" s="58"/>
      <c r="BY315" s="58"/>
      <c r="BZ315" s="60"/>
      <c r="CA315" s="58"/>
      <c r="CB315" s="58"/>
      <c r="CC315" s="58"/>
      <c r="CD315" s="58"/>
      <c r="CE315" s="61"/>
      <c r="CF315" s="58"/>
      <c r="CG315" s="58"/>
      <c r="CH315" s="58"/>
      <c r="CI315" s="58"/>
      <c r="CJ315" s="62"/>
      <c r="CK315" s="58"/>
      <c r="CL315" s="58"/>
      <c r="CM315" s="58"/>
      <c r="CN315" s="58"/>
      <c r="CO315" s="63"/>
      <c r="CP315" s="58"/>
      <c r="CQ315" s="58"/>
      <c r="CR315" s="58"/>
      <c r="CS315" s="58"/>
      <c r="CT315" s="15"/>
      <c r="CU315" s="16"/>
      <c r="CV315" s="16"/>
      <c r="CW315" s="16"/>
      <c r="CX315" s="15"/>
      <c r="CY315" s="16"/>
      <c r="CZ315" s="17"/>
    </row>
    <row r="316" spans="1:104" s="18" customFormat="1" ht="15" customHeight="1">
      <c r="A316" s="64"/>
      <c r="B316" s="75"/>
      <c r="C316" s="43"/>
      <c r="D316" s="57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"/>
      <c r="Z316" s="5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6"/>
      <c r="AR316" s="6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7"/>
      <c r="BF316" s="7"/>
      <c r="BG316" s="58"/>
      <c r="BH316" s="58"/>
      <c r="BI316" s="58"/>
      <c r="BJ316" s="58"/>
      <c r="BK316" s="58"/>
      <c r="BL316" s="58"/>
      <c r="BM316" s="58"/>
      <c r="BN316" s="58"/>
      <c r="BO316" s="8"/>
      <c r="BP316" s="8"/>
      <c r="BQ316" s="58"/>
      <c r="BR316" s="58"/>
      <c r="BS316" s="58"/>
      <c r="BT316" s="58"/>
      <c r="BU316" s="59"/>
      <c r="BV316" s="58"/>
      <c r="BW316" s="58"/>
      <c r="BX316" s="58"/>
      <c r="BY316" s="58"/>
      <c r="BZ316" s="60"/>
      <c r="CA316" s="58"/>
      <c r="CB316" s="58"/>
      <c r="CC316" s="58"/>
      <c r="CD316" s="58"/>
      <c r="CE316" s="61"/>
      <c r="CF316" s="58"/>
      <c r="CG316" s="58"/>
      <c r="CH316" s="58"/>
      <c r="CI316" s="58"/>
      <c r="CJ316" s="62"/>
      <c r="CK316" s="58"/>
      <c r="CL316" s="58"/>
      <c r="CM316" s="58"/>
      <c r="CN316" s="58"/>
      <c r="CO316" s="63"/>
      <c r="CP316" s="58"/>
      <c r="CQ316" s="58"/>
      <c r="CR316" s="58"/>
      <c r="CS316" s="58"/>
      <c r="CT316" s="15"/>
      <c r="CU316" s="16"/>
      <c r="CV316" s="16"/>
      <c r="CW316" s="16"/>
      <c r="CX316" s="15"/>
      <c r="CY316" s="16"/>
      <c r="CZ316" s="17"/>
    </row>
    <row r="317" spans="1:104" s="18" customFormat="1" ht="14.25" customHeight="1">
      <c r="A317" s="64"/>
      <c r="B317" s="75"/>
      <c r="C317" s="43"/>
      <c r="D317" s="57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"/>
      <c r="Z317" s="5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6"/>
      <c r="AR317" s="6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7"/>
      <c r="BF317" s="7"/>
      <c r="BG317" s="58"/>
      <c r="BH317" s="58"/>
      <c r="BI317" s="58"/>
      <c r="BJ317" s="58"/>
      <c r="BK317" s="58"/>
      <c r="BL317" s="58"/>
      <c r="BM317" s="58"/>
      <c r="BN317" s="58"/>
      <c r="BO317" s="8"/>
      <c r="BP317" s="8"/>
      <c r="BQ317" s="58"/>
      <c r="BR317" s="58"/>
      <c r="BS317" s="58"/>
      <c r="BT317" s="58"/>
      <c r="BU317" s="59"/>
      <c r="BV317" s="58"/>
      <c r="BW317" s="58"/>
      <c r="BX317" s="58"/>
      <c r="BY317" s="58"/>
      <c r="BZ317" s="60"/>
      <c r="CA317" s="58"/>
      <c r="CB317" s="58"/>
      <c r="CC317" s="58"/>
      <c r="CD317" s="58"/>
      <c r="CE317" s="61"/>
      <c r="CF317" s="58"/>
      <c r="CG317" s="58"/>
      <c r="CH317" s="58"/>
      <c r="CI317" s="58"/>
      <c r="CJ317" s="62"/>
      <c r="CK317" s="58"/>
      <c r="CL317" s="58"/>
      <c r="CM317" s="58"/>
      <c r="CN317" s="58"/>
      <c r="CO317" s="63"/>
      <c r="CP317" s="58"/>
      <c r="CQ317" s="58"/>
      <c r="CR317" s="58"/>
      <c r="CS317" s="58"/>
      <c r="CT317" s="15"/>
      <c r="CU317" s="16"/>
      <c r="CV317" s="16"/>
      <c r="CW317" s="16"/>
      <c r="CX317" s="15"/>
      <c r="CY317" s="16"/>
      <c r="CZ317" s="17"/>
    </row>
    <row r="318" spans="1:104" s="18" customFormat="1" ht="15.75" customHeight="1">
      <c r="A318" s="64"/>
      <c r="B318" s="77"/>
      <c r="C318" s="43"/>
      <c r="D318" s="57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"/>
      <c r="Z318" s="5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6"/>
      <c r="AR318" s="6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7"/>
      <c r="BF318" s="7"/>
      <c r="BG318" s="58"/>
      <c r="BH318" s="58"/>
      <c r="BI318" s="58"/>
      <c r="BJ318" s="58"/>
      <c r="BK318" s="58"/>
      <c r="BL318" s="58"/>
      <c r="BM318" s="58"/>
      <c r="BN318" s="58"/>
      <c r="BO318" s="8"/>
      <c r="BP318" s="8"/>
      <c r="BQ318" s="58"/>
      <c r="BR318" s="58"/>
      <c r="BS318" s="58"/>
      <c r="BT318" s="58"/>
      <c r="BU318" s="59"/>
      <c r="BV318" s="58"/>
      <c r="BW318" s="58"/>
      <c r="BX318" s="58"/>
      <c r="BY318" s="58"/>
      <c r="BZ318" s="60"/>
      <c r="CA318" s="58"/>
      <c r="CB318" s="58"/>
      <c r="CC318" s="58"/>
      <c r="CD318" s="58"/>
      <c r="CE318" s="61"/>
      <c r="CF318" s="58"/>
      <c r="CG318" s="58"/>
      <c r="CH318" s="58"/>
      <c r="CI318" s="58"/>
      <c r="CJ318" s="62"/>
      <c r="CK318" s="58"/>
      <c r="CL318" s="58"/>
      <c r="CM318" s="58"/>
      <c r="CN318" s="58"/>
      <c r="CO318" s="63"/>
      <c r="CP318" s="58"/>
      <c r="CQ318" s="58"/>
      <c r="CR318" s="58"/>
      <c r="CS318" s="58"/>
      <c r="CT318" s="15"/>
      <c r="CU318" s="16"/>
      <c r="CV318" s="16"/>
      <c r="CW318" s="16"/>
      <c r="CX318" s="15"/>
      <c r="CY318" s="16"/>
      <c r="CZ318" s="17"/>
    </row>
    <row r="319" spans="1:104" s="18" customFormat="1" ht="14.25" customHeight="1">
      <c r="A319" s="64"/>
      <c r="B319" s="75"/>
      <c r="C319" s="43"/>
      <c r="D319" s="57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"/>
      <c r="Z319" s="5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6"/>
      <c r="AR319" s="6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7"/>
      <c r="BF319" s="7"/>
      <c r="BG319" s="58"/>
      <c r="BH319" s="58"/>
      <c r="BI319" s="58"/>
      <c r="BJ319" s="58"/>
      <c r="BK319" s="58"/>
      <c r="BL319" s="58"/>
      <c r="BM319" s="58"/>
      <c r="BN319" s="58"/>
      <c r="BO319" s="8"/>
      <c r="BP319" s="8"/>
      <c r="BQ319" s="58"/>
      <c r="BR319" s="58"/>
      <c r="BS319" s="58"/>
      <c r="BT319" s="58"/>
      <c r="BU319" s="59"/>
      <c r="BV319" s="58"/>
      <c r="BW319" s="58"/>
      <c r="BX319" s="58"/>
      <c r="BY319" s="58"/>
      <c r="BZ319" s="60"/>
      <c r="CA319" s="58"/>
      <c r="CB319" s="58"/>
      <c r="CC319" s="58"/>
      <c r="CD319" s="58"/>
      <c r="CE319" s="61"/>
      <c r="CF319" s="58"/>
      <c r="CG319" s="58"/>
      <c r="CH319" s="58"/>
      <c r="CI319" s="58"/>
      <c r="CJ319" s="62"/>
      <c r="CK319" s="58"/>
      <c r="CL319" s="58"/>
      <c r="CM319" s="58"/>
      <c r="CN319" s="58"/>
      <c r="CO319" s="63"/>
      <c r="CP319" s="58"/>
      <c r="CQ319" s="58"/>
      <c r="CR319" s="58"/>
      <c r="CS319" s="58"/>
      <c r="CT319" s="15"/>
      <c r="CU319" s="16"/>
      <c r="CV319" s="16"/>
      <c r="CW319" s="16"/>
      <c r="CX319" s="15"/>
      <c r="CY319" s="16"/>
      <c r="CZ319" s="17"/>
    </row>
    <row r="320" spans="1:104" s="18" customFormat="1" ht="15.75" customHeight="1">
      <c r="A320" s="64"/>
      <c r="B320" s="74"/>
      <c r="C320" s="43"/>
      <c r="D320" s="57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"/>
      <c r="Z320" s="5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6"/>
      <c r="AR320" s="6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7"/>
      <c r="BF320" s="7"/>
      <c r="BG320" s="58"/>
      <c r="BH320" s="58"/>
      <c r="BI320" s="58"/>
      <c r="BJ320" s="58"/>
      <c r="BK320" s="58"/>
      <c r="BL320" s="58"/>
      <c r="BM320" s="58"/>
      <c r="BN320" s="58"/>
      <c r="BO320" s="8"/>
      <c r="BP320" s="8"/>
      <c r="BQ320" s="58"/>
      <c r="BR320" s="58"/>
      <c r="BS320" s="58"/>
      <c r="BT320" s="58"/>
      <c r="BU320" s="59"/>
      <c r="BV320" s="58"/>
      <c r="BW320" s="58"/>
      <c r="BX320" s="58"/>
      <c r="BY320" s="58"/>
      <c r="BZ320" s="60"/>
      <c r="CA320" s="58"/>
      <c r="CB320" s="58"/>
      <c r="CC320" s="58"/>
      <c r="CD320" s="58"/>
      <c r="CE320" s="61"/>
      <c r="CF320" s="58"/>
      <c r="CG320" s="58"/>
      <c r="CH320" s="58"/>
      <c r="CI320" s="58"/>
      <c r="CJ320" s="62"/>
      <c r="CK320" s="58"/>
      <c r="CL320" s="58"/>
      <c r="CM320" s="58"/>
      <c r="CN320" s="58"/>
      <c r="CO320" s="63"/>
      <c r="CP320" s="58"/>
      <c r="CQ320" s="58"/>
      <c r="CR320" s="58"/>
      <c r="CS320" s="58"/>
      <c r="CT320" s="15"/>
      <c r="CU320" s="16"/>
      <c r="CV320" s="16"/>
      <c r="CW320" s="16"/>
      <c r="CX320" s="15"/>
      <c r="CY320" s="16"/>
      <c r="CZ320" s="17"/>
    </row>
    <row r="321" spans="1:104" s="18" customFormat="1" ht="14.25" customHeight="1">
      <c r="A321" s="64"/>
      <c r="B321" s="75"/>
      <c r="C321" s="43"/>
      <c r="D321" s="57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"/>
      <c r="Z321" s="5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6"/>
      <c r="AR321" s="6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7"/>
      <c r="BF321" s="7"/>
      <c r="BG321" s="58"/>
      <c r="BH321" s="58"/>
      <c r="BI321" s="58"/>
      <c r="BJ321" s="58"/>
      <c r="BK321" s="58"/>
      <c r="BL321" s="58"/>
      <c r="BM321" s="58"/>
      <c r="BN321" s="58"/>
      <c r="BO321" s="8"/>
      <c r="BP321" s="8"/>
      <c r="BQ321" s="58"/>
      <c r="BR321" s="58"/>
      <c r="BS321" s="58"/>
      <c r="BT321" s="58"/>
      <c r="BU321" s="59"/>
      <c r="BV321" s="58"/>
      <c r="BW321" s="58"/>
      <c r="BX321" s="58"/>
      <c r="BY321" s="58"/>
      <c r="BZ321" s="60"/>
      <c r="CA321" s="58"/>
      <c r="CB321" s="58"/>
      <c r="CC321" s="58"/>
      <c r="CD321" s="58"/>
      <c r="CE321" s="61"/>
      <c r="CF321" s="58"/>
      <c r="CG321" s="58"/>
      <c r="CH321" s="58"/>
      <c r="CI321" s="58"/>
      <c r="CJ321" s="62"/>
      <c r="CK321" s="58"/>
      <c r="CL321" s="58"/>
      <c r="CM321" s="58"/>
      <c r="CN321" s="58"/>
      <c r="CO321" s="63"/>
      <c r="CP321" s="58"/>
      <c r="CQ321" s="58"/>
      <c r="CR321" s="58"/>
      <c r="CS321" s="58"/>
      <c r="CT321" s="15"/>
      <c r="CU321" s="16"/>
      <c r="CV321" s="16"/>
      <c r="CW321" s="16"/>
      <c r="CX321" s="15"/>
      <c r="CY321" s="16"/>
      <c r="CZ321" s="17"/>
    </row>
    <row r="322" spans="1:104" s="18" customFormat="1" ht="15.75" customHeight="1">
      <c r="A322" s="64"/>
      <c r="B322" s="75"/>
      <c r="C322" s="43"/>
      <c r="D322" s="57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"/>
      <c r="Z322" s="5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6"/>
      <c r="AR322" s="6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7"/>
      <c r="BF322" s="7"/>
      <c r="BG322" s="58"/>
      <c r="BH322" s="58"/>
      <c r="BI322" s="58"/>
      <c r="BJ322" s="58"/>
      <c r="BK322" s="58"/>
      <c r="BL322" s="58"/>
      <c r="BM322" s="58"/>
      <c r="BN322" s="58"/>
      <c r="BO322" s="8"/>
      <c r="BP322" s="8"/>
      <c r="BQ322" s="58"/>
      <c r="BR322" s="58"/>
      <c r="BS322" s="58"/>
      <c r="BT322" s="58"/>
      <c r="BU322" s="59"/>
      <c r="BV322" s="58"/>
      <c r="BW322" s="58"/>
      <c r="BX322" s="58"/>
      <c r="BY322" s="58"/>
      <c r="BZ322" s="60"/>
      <c r="CA322" s="58"/>
      <c r="CB322" s="58"/>
      <c r="CC322" s="58"/>
      <c r="CD322" s="58"/>
      <c r="CE322" s="61"/>
      <c r="CF322" s="58"/>
      <c r="CG322" s="58"/>
      <c r="CH322" s="58"/>
      <c r="CI322" s="58"/>
      <c r="CJ322" s="62"/>
      <c r="CK322" s="58"/>
      <c r="CL322" s="58"/>
      <c r="CM322" s="58"/>
      <c r="CN322" s="58"/>
      <c r="CO322" s="63"/>
      <c r="CP322" s="58"/>
      <c r="CQ322" s="58"/>
      <c r="CR322" s="58"/>
      <c r="CS322" s="58"/>
      <c r="CT322" s="15"/>
      <c r="CU322" s="16"/>
      <c r="CV322" s="16"/>
      <c r="CW322" s="16"/>
      <c r="CX322" s="15"/>
      <c r="CY322" s="16"/>
      <c r="CZ322" s="17"/>
    </row>
    <row r="323" spans="1:104" s="18" customFormat="1" ht="14.25" customHeight="1">
      <c r="A323" s="64"/>
      <c r="B323" s="75"/>
      <c r="C323" s="43"/>
      <c r="D323" s="57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"/>
      <c r="Z323" s="5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6"/>
      <c r="AR323" s="6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7"/>
      <c r="BF323" s="7"/>
      <c r="BG323" s="58"/>
      <c r="BH323" s="58"/>
      <c r="BI323" s="58"/>
      <c r="BJ323" s="58"/>
      <c r="BK323" s="58"/>
      <c r="BL323" s="58"/>
      <c r="BM323" s="58"/>
      <c r="BN323" s="58"/>
      <c r="BO323" s="8"/>
      <c r="BP323" s="8"/>
      <c r="BQ323" s="58"/>
      <c r="BR323" s="58"/>
      <c r="BS323" s="58"/>
      <c r="BT323" s="58"/>
      <c r="BU323" s="59"/>
      <c r="BV323" s="58"/>
      <c r="BW323" s="58"/>
      <c r="BX323" s="58"/>
      <c r="BY323" s="58"/>
      <c r="BZ323" s="60"/>
      <c r="CA323" s="58"/>
      <c r="CB323" s="58"/>
      <c r="CC323" s="58"/>
      <c r="CD323" s="58"/>
      <c r="CE323" s="61"/>
      <c r="CF323" s="58"/>
      <c r="CG323" s="58"/>
      <c r="CH323" s="58"/>
      <c r="CI323" s="58"/>
      <c r="CJ323" s="62"/>
      <c r="CK323" s="58"/>
      <c r="CL323" s="58"/>
      <c r="CM323" s="58"/>
      <c r="CN323" s="58"/>
      <c r="CO323" s="63"/>
      <c r="CP323" s="58"/>
      <c r="CQ323" s="58"/>
      <c r="CR323" s="58"/>
      <c r="CS323" s="58"/>
      <c r="CT323" s="15"/>
      <c r="CU323" s="16"/>
      <c r="CV323" s="16"/>
      <c r="CW323" s="16"/>
      <c r="CX323" s="15"/>
      <c r="CY323" s="16"/>
      <c r="CZ323" s="17"/>
    </row>
    <row r="324" spans="1:104" s="18" customFormat="1" ht="15.75" customHeight="1">
      <c r="A324" s="64"/>
      <c r="B324" s="75"/>
      <c r="C324" s="43"/>
      <c r="D324" s="57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"/>
      <c r="Z324" s="5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6"/>
      <c r="AR324" s="6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7"/>
      <c r="BF324" s="7"/>
      <c r="BG324" s="58"/>
      <c r="BH324" s="58"/>
      <c r="BI324" s="58"/>
      <c r="BJ324" s="58"/>
      <c r="BK324" s="58"/>
      <c r="BL324" s="58"/>
      <c r="BM324" s="58"/>
      <c r="BN324" s="58"/>
      <c r="BO324" s="8"/>
      <c r="BP324" s="8"/>
      <c r="BQ324" s="58"/>
      <c r="BR324" s="58"/>
      <c r="BS324" s="58"/>
      <c r="BT324" s="58"/>
      <c r="BU324" s="59"/>
      <c r="BV324" s="58"/>
      <c r="BW324" s="58"/>
      <c r="BX324" s="58"/>
      <c r="BY324" s="58"/>
      <c r="BZ324" s="60"/>
      <c r="CA324" s="58"/>
      <c r="CB324" s="58"/>
      <c r="CC324" s="58"/>
      <c r="CD324" s="58"/>
      <c r="CE324" s="61"/>
      <c r="CF324" s="58"/>
      <c r="CG324" s="58"/>
      <c r="CH324" s="58"/>
      <c r="CI324" s="58"/>
      <c r="CJ324" s="62"/>
      <c r="CK324" s="58"/>
      <c r="CL324" s="58"/>
      <c r="CM324" s="58"/>
      <c r="CN324" s="58"/>
      <c r="CO324" s="63"/>
      <c r="CP324" s="58"/>
      <c r="CQ324" s="58"/>
      <c r="CR324" s="58"/>
      <c r="CS324" s="58"/>
      <c r="CT324" s="15"/>
      <c r="CU324" s="16"/>
      <c r="CV324" s="16"/>
      <c r="CW324" s="16"/>
      <c r="CX324" s="15"/>
      <c r="CY324" s="16"/>
      <c r="CZ324" s="17"/>
    </row>
    <row r="325" spans="1:104" s="18" customFormat="1" ht="14.25" customHeight="1">
      <c r="A325" s="64"/>
      <c r="B325" s="75"/>
      <c r="C325" s="43"/>
      <c r="D325" s="57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"/>
      <c r="Z325" s="5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6"/>
      <c r="AR325" s="6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7"/>
      <c r="BF325" s="7"/>
      <c r="BG325" s="58"/>
      <c r="BH325" s="58"/>
      <c r="BI325" s="58"/>
      <c r="BJ325" s="58"/>
      <c r="BK325" s="58"/>
      <c r="BL325" s="58"/>
      <c r="BM325" s="58"/>
      <c r="BN325" s="58"/>
      <c r="BO325" s="8"/>
      <c r="BP325" s="8"/>
      <c r="BQ325" s="58"/>
      <c r="BR325" s="58"/>
      <c r="BS325" s="58"/>
      <c r="BT325" s="58"/>
      <c r="BU325" s="59"/>
      <c r="BV325" s="58"/>
      <c r="BW325" s="58"/>
      <c r="BX325" s="58"/>
      <c r="BY325" s="58"/>
      <c r="BZ325" s="60"/>
      <c r="CA325" s="58"/>
      <c r="CB325" s="58"/>
      <c r="CC325" s="58"/>
      <c r="CD325" s="58"/>
      <c r="CE325" s="61"/>
      <c r="CF325" s="58"/>
      <c r="CG325" s="58"/>
      <c r="CH325" s="58"/>
      <c r="CI325" s="58"/>
      <c r="CJ325" s="62"/>
      <c r="CK325" s="58"/>
      <c r="CL325" s="58"/>
      <c r="CM325" s="58"/>
      <c r="CN325" s="58"/>
      <c r="CO325" s="63"/>
      <c r="CP325" s="58"/>
      <c r="CQ325" s="58"/>
      <c r="CR325" s="58"/>
      <c r="CS325" s="58"/>
      <c r="CT325" s="15"/>
      <c r="CU325" s="16"/>
      <c r="CV325" s="16"/>
      <c r="CW325" s="16"/>
      <c r="CX325" s="15"/>
      <c r="CY325" s="16"/>
      <c r="CZ325" s="17"/>
    </row>
    <row r="326" spans="1:104" s="18" customFormat="1" ht="15.75" customHeight="1">
      <c r="A326" s="64"/>
      <c r="B326" s="80"/>
      <c r="C326" s="43"/>
      <c r="D326" s="57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"/>
      <c r="Z326" s="5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6"/>
      <c r="AR326" s="6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7"/>
      <c r="BF326" s="7"/>
      <c r="BG326" s="58"/>
      <c r="BH326" s="58"/>
      <c r="BI326" s="58"/>
      <c r="BJ326" s="58"/>
      <c r="BK326" s="58"/>
      <c r="BL326" s="58"/>
      <c r="BM326" s="58"/>
      <c r="BN326" s="58"/>
      <c r="BO326" s="8"/>
      <c r="BP326" s="8"/>
      <c r="BQ326" s="58"/>
      <c r="BR326" s="58"/>
      <c r="BS326" s="58"/>
      <c r="BT326" s="58"/>
      <c r="BU326" s="59"/>
      <c r="BV326" s="58"/>
      <c r="BW326" s="58"/>
      <c r="BX326" s="58"/>
      <c r="BY326" s="58"/>
      <c r="BZ326" s="60"/>
      <c r="CA326" s="58"/>
      <c r="CB326" s="58"/>
      <c r="CC326" s="58"/>
      <c r="CD326" s="58"/>
      <c r="CE326" s="61"/>
      <c r="CF326" s="58"/>
      <c r="CG326" s="58"/>
      <c r="CH326" s="58"/>
      <c r="CI326" s="58"/>
      <c r="CJ326" s="62"/>
      <c r="CK326" s="58"/>
      <c r="CL326" s="58"/>
      <c r="CM326" s="58"/>
      <c r="CN326" s="58"/>
      <c r="CO326" s="63"/>
      <c r="CP326" s="58"/>
      <c r="CQ326" s="58"/>
      <c r="CR326" s="58"/>
      <c r="CS326" s="58"/>
      <c r="CT326" s="15"/>
      <c r="CU326" s="16"/>
      <c r="CV326" s="16"/>
      <c r="CW326" s="16"/>
      <c r="CX326" s="15"/>
      <c r="CY326" s="16"/>
      <c r="CZ326" s="17"/>
    </row>
    <row r="327" spans="1:104" s="18" customFormat="1" ht="15.75" customHeight="1">
      <c r="A327" s="64"/>
      <c r="B327" s="75"/>
      <c r="C327" s="43"/>
      <c r="D327" s="57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"/>
      <c r="Z327" s="5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6"/>
      <c r="AR327" s="6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7"/>
      <c r="BF327" s="7"/>
      <c r="BG327" s="58"/>
      <c r="BH327" s="58"/>
      <c r="BI327" s="58"/>
      <c r="BJ327" s="58"/>
      <c r="BK327" s="58"/>
      <c r="BL327" s="58"/>
      <c r="BM327" s="58"/>
      <c r="BN327" s="58"/>
      <c r="BO327" s="8"/>
      <c r="BP327" s="8"/>
      <c r="BQ327" s="58"/>
      <c r="BR327" s="58"/>
      <c r="BS327" s="58"/>
      <c r="BT327" s="58"/>
      <c r="BU327" s="59"/>
      <c r="BV327" s="58"/>
      <c r="BW327" s="58"/>
      <c r="BX327" s="58"/>
      <c r="BY327" s="58"/>
      <c r="BZ327" s="60"/>
      <c r="CA327" s="58"/>
      <c r="CB327" s="58"/>
      <c r="CC327" s="58"/>
      <c r="CD327" s="58"/>
      <c r="CE327" s="61"/>
      <c r="CF327" s="58"/>
      <c r="CG327" s="58"/>
      <c r="CH327" s="58"/>
      <c r="CI327" s="58"/>
      <c r="CJ327" s="62"/>
      <c r="CK327" s="58"/>
      <c r="CL327" s="58"/>
      <c r="CM327" s="58"/>
      <c r="CN327" s="58"/>
      <c r="CO327" s="63"/>
      <c r="CP327" s="58"/>
      <c r="CQ327" s="58"/>
      <c r="CR327" s="58"/>
      <c r="CS327" s="58"/>
      <c r="CT327" s="15"/>
      <c r="CU327" s="16"/>
      <c r="CV327" s="16"/>
      <c r="CW327" s="16"/>
      <c r="CX327" s="15"/>
      <c r="CY327" s="16"/>
      <c r="CZ327" s="17"/>
    </row>
    <row r="328" spans="1:104" s="18" customFormat="1" ht="15.75" customHeight="1">
      <c r="A328" s="64"/>
      <c r="B328" s="75"/>
      <c r="C328" s="43"/>
      <c r="D328" s="57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"/>
      <c r="Z328" s="5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6"/>
      <c r="AR328" s="6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7"/>
      <c r="BF328" s="7"/>
      <c r="BG328" s="58"/>
      <c r="BH328" s="58"/>
      <c r="BI328" s="58"/>
      <c r="BJ328" s="58"/>
      <c r="BK328" s="58"/>
      <c r="BL328" s="58"/>
      <c r="BM328" s="58"/>
      <c r="BN328" s="58"/>
      <c r="BO328" s="8"/>
      <c r="BP328" s="8"/>
      <c r="BQ328" s="58"/>
      <c r="BR328" s="58"/>
      <c r="BS328" s="58"/>
      <c r="BT328" s="58"/>
      <c r="BU328" s="59"/>
      <c r="BV328" s="58"/>
      <c r="BW328" s="58"/>
      <c r="BX328" s="58"/>
      <c r="BY328" s="58"/>
      <c r="BZ328" s="60"/>
      <c r="CA328" s="58"/>
      <c r="CB328" s="58"/>
      <c r="CC328" s="58"/>
      <c r="CD328" s="58"/>
      <c r="CE328" s="61"/>
      <c r="CF328" s="58"/>
      <c r="CG328" s="58"/>
      <c r="CH328" s="58"/>
      <c r="CI328" s="58"/>
      <c r="CJ328" s="62"/>
      <c r="CK328" s="58"/>
      <c r="CL328" s="58"/>
      <c r="CM328" s="58"/>
      <c r="CN328" s="58"/>
      <c r="CO328" s="63"/>
      <c r="CP328" s="58"/>
      <c r="CQ328" s="58"/>
      <c r="CR328" s="58"/>
      <c r="CS328" s="58"/>
      <c r="CT328" s="15"/>
      <c r="CU328" s="16"/>
      <c r="CV328" s="16"/>
      <c r="CW328" s="16"/>
      <c r="CX328" s="15"/>
      <c r="CY328" s="16"/>
      <c r="CZ328" s="17"/>
    </row>
    <row r="329" spans="1:104" s="18" customFormat="1" ht="15.75" customHeight="1">
      <c r="A329" s="64"/>
      <c r="B329" s="77"/>
      <c r="C329" s="43"/>
      <c r="D329" s="57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"/>
      <c r="Z329" s="5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6"/>
      <c r="AR329" s="6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7"/>
      <c r="BF329" s="7"/>
      <c r="BG329" s="58"/>
      <c r="BH329" s="58"/>
      <c r="BI329" s="58"/>
      <c r="BJ329" s="58"/>
      <c r="BK329" s="58"/>
      <c r="BL329" s="58"/>
      <c r="BM329" s="58"/>
      <c r="BN329" s="58"/>
      <c r="BO329" s="8"/>
      <c r="BP329" s="8"/>
      <c r="BQ329" s="58"/>
      <c r="BR329" s="58"/>
      <c r="BS329" s="58"/>
      <c r="BT329" s="58"/>
      <c r="BU329" s="59"/>
      <c r="BV329" s="58"/>
      <c r="BW329" s="58"/>
      <c r="BX329" s="58"/>
      <c r="BY329" s="58"/>
      <c r="BZ329" s="60"/>
      <c r="CA329" s="58"/>
      <c r="CB329" s="58"/>
      <c r="CC329" s="58"/>
      <c r="CD329" s="58"/>
      <c r="CE329" s="61"/>
      <c r="CF329" s="58"/>
      <c r="CG329" s="58"/>
      <c r="CH329" s="58"/>
      <c r="CI329" s="58"/>
      <c r="CJ329" s="62"/>
      <c r="CK329" s="58"/>
      <c r="CL329" s="58"/>
      <c r="CM329" s="58"/>
      <c r="CN329" s="58"/>
      <c r="CO329" s="63"/>
      <c r="CP329" s="58"/>
      <c r="CQ329" s="58"/>
      <c r="CR329" s="58"/>
      <c r="CS329" s="58"/>
      <c r="CT329" s="15"/>
      <c r="CU329" s="16"/>
      <c r="CV329" s="16"/>
      <c r="CW329" s="16"/>
      <c r="CX329" s="15"/>
      <c r="CY329" s="16"/>
      <c r="CZ329" s="17"/>
    </row>
    <row r="330" spans="1:104" s="18" customFormat="1" ht="15.75" customHeight="1" thickBot="1">
      <c r="A330" s="64"/>
      <c r="B330" s="81"/>
      <c r="C330" s="43"/>
      <c r="D330" s="57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"/>
      <c r="Z330" s="5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6"/>
      <c r="AR330" s="6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7"/>
      <c r="BF330" s="7"/>
      <c r="BG330" s="58"/>
      <c r="BH330" s="58"/>
      <c r="BI330" s="58"/>
      <c r="BJ330" s="58"/>
      <c r="BK330" s="58"/>
      <c r="BL330" s="58"/>
      <c r="BM330" s="58"/>
      <c r="BN330" s="58"/>
      <c r="BO330" s="8"/>
      <c r="BP330" s="8"/>
      <c r="BQ330" s="58"/>
      <c r="BR330" s="58"/>
      <c r="BS330" s="58"/>
      <c r="BT330" s="58"/>
      <c r="BU330" s="59"/>
      <c r="BV330" s="58"/>
      <c r="BW330" s="58"/>
      <c r="BX330" s="58"/>
      <c r="BY330" s="58"/>
      <c r="BZ330" s="60"/>
      <c r="CA330" s="58"/>
      <c r="CB330" s="58"/>
      <c r="CC330" s="58"/>
      <c r="CD330" s="58"/>
      <c r="CE330" s="61"/>
      <c r="CF330" s="58"/>
      <c r="CG330" s="58"/>
      <c r="CH330" s="58"/>
      <c r="CI330" s="58"/>
      <c r="CJ330" s="62"/>
      <c r="CK330" s="58"/>
      <c r="CL330" s="58"/>
      <c r="CM330" s="58"/>
      <c r="CN330" s="58"/>
      <c r="CO330" s="63"/>
      <c r="CP330" s="58"/>
      <c r="CQ330" s="58"/>
      <c r="CR330" s="58"/>
      <c r="CS330" s="58"/>
      <c r="CT330" s="15"/>
      <c r="CU330" s="16"/>
      <c r="CV330" s="16"/>
      <c r="CW330" s="16"/>
      <c r="CX330" s="15"/>
      <c r="CY330" s="16"/>
      <c r="CZ330" s="17"/>
    </row>
    <row r="331" spans="1:104" s="18" customFormat="1" ht="15.75" customHeight="1">
      <c r="A331" s="64"/>
      <c r="B331" s="75"/>
      <c r="C331" s="43"/>
      <c r="D331" s="57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"/>
      <c r="Z331" s="5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6"/>
      <c r="AR331" s="6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7"/>
      <c r="BF331" s="7"/>
      <c r="BG331" s="58"/>
      <c r="BH331" s="58"/>
      <c r="BI331" s="58"/>
      <c r="BJ331" s="58"/>
      <c r="BK331" s="58"/>
      <c r="BL331" s="58"/>
      <c r="BM331" s="58"/>
      <c r="BN331" s="58"/>
      <c r="BO331" s="8"/>
      <c r="BP331" s="8"/>
      <c r="BQ331" s="58"/>
      <c r="BR331" s="58"/>
      <c r="BS331" s="58"/>
      <c r="BT331" s="58"/>
      <c r="BU331" s="59"/>
      <c r="BV331" s="58"/>
      <c r="BW331" s="58"/>
      <c r="BX331" s="58"/>
      <c r="BY331" s="58"/>
      <c r="BZ331" s="60"/>
      <c r="CA331" s="58"/>
      <c r="CB331" s="58"/>
      <c r="CC331" s="58"/>
      <c r="CD331" s="58"/>
      <c r="CE331" s="61"/>
      <c r="CF331" s="58"/>
      <c r="CG331" s="58"/>
      <c r="CH331" s="58"/>
      <c r="CI331" s="58"/>
      <c r="CJ331" s="62"/>
      <c r="CK331" s="58"/>
      <c r="CL331" s="58"/>
      <c r="CM331" s="58"/>
      <c r="CN331" s="58"/>
      <c r="CO331" s="63"/>
      <c r="CP331" s="58"/>
      <c r="CQ331" s="58"/>
      <c r="CR331" s="58"/>
      <c r="CS331" s="58"/>
      <c r="CT331" s="15"/>
      <c r="CU331" s="16"/>
      <c r="CV331" s="16"/>
      <c r="CW331" s="16"/>
      <c r="CX331" s="15"/>
      <c r="CY331" s="16"/>
      <c r="CZ331" s="17"/>
    </row>
    <row r="332" spans="1:104" s="18" customFormat="1" ht="15.75" customHeight="1">
      <c r="A332" s="64"/>
      <c r="B332" s="82"/>
      <c r="C332" s="43"/>
      <c r="D332" s="57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"/>
      <c r="Z332" s="5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6"/>
      <c r="AR332" s="6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7"/>
      <c r="BF332" s="7"/>
      <c r="BG332" s="58"/>
      <c r="BH332" s="58"/>
      <c r="BI332" s="58"/>
      <c r="BJ332" s="58"/>
      <c r="BK332" s="58"/>
      <c r="BL332" s="58"/>
      <c r="BM332" s="58"/>
      <c r="BN332" s="58"/>
      <c r="BO332" s="8"/>
      <c r="BP332" s="8"/>
      <c r="BQ332" s="58"/>
      <c r="BR332" s="58"/>
      <c r="BS332" s="58"/>
      <c r="BT332" s="58"/>
      <c r="BU332" s="59"/>
      <c r="BV332" s="58"/>
      <c r="BW332" s="58"/>
      <c r="BX332" s="58"/>
      <c r="BY332" s="58"/>
      <c r="BZ332" s="60"/>
      <c r="CA332" s="58"/>
      <c r="CB332" s="58"/>
      <c r="CC332" s="58"/>
      <c r="CD332" s="58"/>
      <c r="CE332" s="61"/>
      <c r="CF332" s="58"/>
      <c r="CG332" s="58"/>
      <c r="CH332" s="58"/>
      <c r="CI332" s="58"/>
      <c r="CJ332" s="62"/>
      <c r="CK332" s="58"/>
      <c r="CL332" s="58"/>
      <c r="CM332" s="58"/>
      <c r="CN332" s="58"/>
      <c r="CO332" s="63"/>
      <c r="CP332" s="58"/>
      <c r="CQ332" s="58"/>
      <c r="CR332" s="58"/>
      <c r="CS332" s="58"/>
      <c r="CT332" s="15"/>
      <c r="CU332" s="16"/>
      <c r="CV332" s="16"/>
      <c r="CW332" s="16"/>
      <c r="CX332" s="15"/>
      <c r="CY332" s="16"/>
      <c r="CZ332" s="17"/>
    </row>
    <row r="333" spans="1:104" s="18" customFormat="1" ht="15.75" customHeight="1">
      <c r="A333" s="64"/>
      <c r="B333" s="75"/>
      <c r="C333" s="43"/>
      <c r="D333" s="57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"/>
      <c r="Z333" s="5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6"/>
      <c r="AR333" s="6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7"/>
      <c r="BF333" s="7"/>
      <c r="BG333" s="58"/>
      <c r="BH333" s="58"/>
      <c r="BI333" s="58"/>
      <c r="BJ333" s="58"/>
      <c r="BK333" s="58"/>
      <c r="BL333" s="58"/>
      <c r="BM333" s="58"/>
      <c r="BN333" s="58"/>
      <c r="BO333" s="8"/>
      <c r="BP333" s="8"/>
      <c r="BQ333" s="58"/>
      <c r="BR333" s="58"/>
      <c r="BS333" s="58"/>
      <c r="BT333" s="58"/>
      <c r="BU333" s="59"/>
      <c r="BV333" s="58"/>
      <c r="BW333" s="58"/>
      <c r="BX333" s="58"/>
      <c r="BY333" s="58"/>
      <c r="BZ333" s="60"/>
      <c r="CA333" s="58"/>
      <c r="CB333" s="58"/>
      <c r="CC333" s="58"/>
      <c r="CD333" s="58"/>
      <c r="CE333" s="61"/>
      <c r="CF333" s="58"/>
      <c r="CG333" s="58"/>
      <c r="CH333" s="58"/>
      <c r="CI333" s="58"/>
      <c r="CJ333" s="62"/>
      <c r="CK333" s="58"/>
      <c r="CL333" s="58"/>
      <c r="CM333" s="58"/>
      <c r="CN333" s="58"/>
      <c r="CO333" s="63"/>
      <c r="CP333" s="58"/>
      <c r="CQ333" s="58"/>
      <c r="CR333" s="58"/>
      <c r="CS333" s="58"/>
      <c r="CT333" s="15"/>
      <c r="CU333" s="16"/>
      <c r="CV333" s="16"/>
      <c r="CW333" s="16"/>
      <c r="CX333" s="15"/>
      <c r="CY333" s="16"/>
      <c r="CZ333" s="17"/>
    </row>
    <row r="334" spans="1:104" s="18" customFormat="1" ht="15.75" customHeight="1">
      <c r="A334" s="64"/>
      <c r="B334" s="75"/>
      <c r="C334" s="43"/>
      <c r="D334" s="57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"/>
      <c r="Z334" s="5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6"/>
      <c r="AR334" s="6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7"/>
      <c r="BF334" s="7"/>
      <c r="BG334" s="58"/>
      <c r="BH334" s="58"/>
      <c r="BI334" s="58"/>
      <c r="BJ334" s="58"/>
      <c r="BK334" s="58"/>
      <c r="BL334" s="58"/>
      <c r="BM334" s="58"/>
      <c r="BN334" s="58"/>
      <c r="BO334" s="8"/>
      <c r="BP334" s="8"/>
      <c r="BQ334" s="58"/>
      <c r="BR334" s="58"/>
      <c r="BS334" s="58"/>
      <c r="BT334" s="58"/>
      <c r="BU334" s="59"/>
      <c r="BV334" s="58"/>
      <c r="BW334" s="58"/>
      <c r="BX334" s="58"/>
      <c r="BY334" s="58"/>
      <c r="BZ334" s="60"/>
      <c r="CA334" s="58"/>
      <c r="CB334" s="58"/>
      <c r="CC334" s="58"/>
      <c r="CD334" s="58"/>
      <c r="CE334" s="61"/>
      <c r="CF334" s="58"/>
      <c r="CG334" s="58"/>
      <c r="CH334" s="58"/>
      <c r="CI334" s="58"/>
      <c r="CJ334" s="62"/>
      <c r="CK334" s="58"/>
      <c r="CL334" s="58"/>
      <c r="CM334" s="58"/>
      <c r="CN334" s="58"/>
      <c r="CO334" s="63"/>
      <c r="CP334" s="58"/>
      <c r="CQ334" s="58"/>
      <c r="CR334" s="58"/>
      <c r="CS334" s="58"/>
      <c r="CT334" s="15"/>
      <c r="CU334" s="16"/>
      <c r="CV334" s="16"/>
      <c r="CW334" s="16"/>
      <c r="CX334" s="15"/>
      <c r="CY334" s="16"/>
      <c r="CZ334" s="17"/>
    </row>
    <row r="335" spans="1:104" s="18" customFormat="1" ht="15.75" customHeight="1">
      <c r="A335" s="64"/>
      <c r="B335" s="79"/>
      <c r="C335" s="43"/>
      <c r="D335" s="57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"/>
      <c r="Z335" s="5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6"/>
      <c r="AR335" s="6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7"/>
      <c r="BF335" s="7"/>
      <c r="BG335" s="58"/>
      <c r="BH335" s="58"/>
      <c r="BI335" s="58"/>
      <c r="BJ335" s="58"/>
      <c r="BK335" s="58"/>
      <c r="BL335" s="58"/>
      <c r="BM335" s="58"/>
      <c r="BN335" s="58"/>
      <c r="BO335" s="8"/>
      <c r="BP335" s="8"/>
      <c r="BQ335" s="58"/>
      <c r="BR335" s="58"/>
      <c r="BS335" s="58"/>
      <c r="BT335" s="58"/>
      <c r="BU335" s="59"/>
      <c r="BV335" s="58"/>
      <c r="BW335" s="58"/>
      <c r="BX335" s="58"/>
      <c r="BY335" s="58"/>
      <c r="BZ335" s="60"/>
      <c r="CA335" s="58"/>
      <c r="CB335" s="58"/>
      <c r="CC335" s="58"/>
      <c r="CD335" s="58"/>
      <c r="CE335" s="61"/>
      <c r="CF335" s="58"/>
      <c r="CG335" s="58"/>
      <c r="CH335" s="58"/>
      <c r="CI335" s="58"/>
      <c r="CJ335" s="62"/>
      <c r="CK335" s="58"/>
      <c r="CL335" s="58"/>
      <c r="CM335" s="58"/>
      <c r="CN335" s="58"/>
      <c r="CO335" s="63"/>
      <c r="CP335" s="58"/>
      <c r="CQ335" s="58"/>
      <c r="CR335" s="58"/>
      <c r="CS335" s="58"/>
      <c r="CT335" s="15"/>
      <c r="CU335" s="16"/>
      <c r="CV335" s="16"/>
      <c r="CW335" s="16"/>
      <c r="CX335" s="15"/>
      <c r="CY335" s="16"/>
      <c r="CZ335" s="17"/>
    </row>
    <row r="336" spans="1:104" s="18" customFormat="1" ht="15.75" customHeight="1">
      <c r="A336" s="64"/>
      <c r="B336" s="57"/>
      <c r="C336" s="43"/>
      <c r="D336" s="57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"/>
      <c r="Z336" s="5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6"/>
      <c r="AR336" s="6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7"/>
      <c r="BF336" s="7"/>
      <c r="BG336" s="58"/>
      <c r="BH336" s="58"/>
      <c r="BI336" s="58"/>
      <c r="BJ336" s="58"/>
      <c r="BK336" s="58"/>
      <c r="BL336" s="58"/>
      <c r="BM336" s="58"/>
      <c r="BN336" s="58"/>
      <c r="BO336" s="8"/>
      <c r="BP336" s="8"/>
      <c r="BQ336" s="58"/>
      <c r="BR336" s="58"/>
      <c r="BS336" s="58"/>
      <c r="BT336" s="58"/>
      <c r="BU336" s="59"/>
      <c r="BV336" s="58"/>
      <c r="BW336" s="58"/>
      <c r="BX336" s="58"/>
      <c r="BY336" s="58"/>
      <c r="BZ336" s="60"/>
      <c r="CA336" s="58"/>
      <c r="CB336" s="58"/>
      <c r="CC336" s="58"/>
      <c r="CD336" s="58"/>
      <c r="CE336" s="61"/>
      <c r="CF336" s="58"/>
      <c r="CG336" s="58"/>
      <c r="CH336" s="58"/>
      <c r="CI336" s="58"/>
      <c r="CJ336" s="62"/>
      <c r="CK336" s="58"/>
      <c r="CL336" s="58"/>
      <c r="CM336" s="58"/>
      <c r="CN336" s="58"/>
      <c r="CO336" s="63"/>
      <c r="CP336" s="58"/>
      <c r="CQ336" s="58"/>
      <c r="CR336" s="58"/>
      <c r="CS336" s="58"/>
      <c r="CT336" s="15"/>
      <c r="CU336" s="16"/>
      <c r="CV336" s="16"/>
      <c r="CW336" s="16"/>
      <c r="CX336" s="15"/>
      <c r="CY336" s="16"/>
      <c r="CZ336" s="17"/>
    </row>
    <row r="337" spans="1:104" s="18" customFormat="1" ht="15.75" customHeight="1">
      <c r="A337" s="64"/>
      <c r="B337" s="57"/>
      <c r="C337" s="43"/>
      <c r="D337" s="57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"/>
      <c r="Z337" s="5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6"/>
      <c r="AR337" s="6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7"/>
      <c r="BF337" s="7"/>
      <c r="BG337" s="58"/>
      <c r="BH337" s="58"/>
      <c r="BI337" s="58"/>
      <c r="BJ337" s="58"/>
      <c r="BK337" s="58"/>
      <c r="BL337" s="58"/>
      <c r="BM337" s="58"/>
      <c r="BN337" s="58"/>
      <c r="BO337" s="8"/>
      <c r="BP337" s="8"/>
      <c r="BQ337" s="58"/>
      <c r="BR337" s="58"/>
      <c r="BS337" s="58"/>
      <c r="BT337" s="58"/>
      <c r="BU337" s="59"/>
      <c r="BV337" s="58"/>
      <c r="BW337" s="58"/>
      <c r="BX337" s="58"/>
      <c r="BY337" s="58"/>
      <c r="BZ337" s="60"/>
      <c r="CA337" s="58"/>
      <c r="CB337" s="58"/>
      <c r="CC337" s="58"/>
      <c r="CD337" s="58"/>
      <c r="CE337" s="61"/>
      <c r="CF337" s="58"/>
      <c r="CG337" s="58"/>
      <c r="CH337" s="58"/>
      <c r="CI337" s="58"/>
      <c r="CJ337" s="62"/>
      <c r="CK337" s="58"/>
      <c r="CL337" s="58"/>
      <c r="CM337" s="58"/>
      <c r="CN337" s="58"/>
      <c r="CO337" s="63"/>
      <c r="CP337" s="58"/>
      <c r="CQ337" s="58"/>
      <c r="CR337" s="58"/>
      <c r="CS337" s="58"/>
      <c r="CT337" s="15"/>
      <c r="CU337" s="16"/>
      <c r="CV337" s="16"/>
      <c r="CW337" s="16"/>
      <c r="CX337" s="15"/>
      <c r="CY337" s="16"/>
      <c r="CZ337" s="17"/>
    </row>
    <row r="338" spans="1:104" s="18" customFormat="1" ht="15.75" customHeight="1">
      <c r="A338" s="64"/>
      <c r="B338" s="83"/>
      <c r="C338" s="43"/>
      <c r="D338" s="57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"/>
      <c r="Z338" s="5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6"/>
      <c r="AR338" s="6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7"/>
      <c r="BF338" s="7"/>
      <c r="BG338" s="58"/>
      <c r="BH338" s="58"/>
      <c r="BI338" s="58"/>
      <c r="BJ338" s="58"/>
      <c r="BK338" s="58"/>
      <c r="BL338" s="58"/>
      <c r="BM338" s="58"/>
      <c r="BN338" s="58"/>
      <c r="BO338" s="8"/>
      <c r="BP338" s="8"/>
      <c r="BQ338" s="58"/>
      <c r="BR338" s="58"/>
      <c r="BS338" s="58"/>
      <c r="BT338" s="58"/>
      <c r="BU338" s="59"/>
      <c r="BV338" s="58"/>
      <c r="BW338" s="58"/>
      <c r="BX338" s="58"/>
      <c r="BY338" s="58"/>
      <c r="BZ338" s="60"/>
      <c r="CA338" s="58"/>
      <c r="CB338" s="58"/>
      <c r="CC338" s="58"/>
      <c r="CD338" s="58"/>
      <c r="CE338" s="61"/>
      <c r="CF338" s="58"/>
      <c r="CG338" s="58"/>
      <c r="CH338" s="58"/>
      <c r="CI338" s="58"/>
      <c r="CJ338" s="62"/>
      <c r="CK338" s="58"/>
      <c r="CL338" s="58"/>
      <c r="CM338" s="58"/>
      <c r="CN338" s="58"/>
      <c r="CO338" s="63"/>
      <c r="CP338" s="58"/>
      <c r="CQ338" s="58"/>
      <c r="CR338" s="58"/>
      <c r="CS338" s="58"/>
      <c r="CT338" s="15"/>
      <c r="CU338" s="16"/>
      <c r="CV338" s="16"/>
      <c r="CW338" s="16"/>
      <c r="CX338" s="15"/>
      <c r="CY338" s="16"/>
      <c r="CZ338" s="17"/>
    </row>
    <row r="339" spans="1:104" s="18" customFormat="1" ht="15.75" customHeight="1">
      <c r="A339" s="64"/>
      <c r="B339" s="57"/>
      <c r="C339" s="43"/>
      <c r="D339" s="57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"/>
      <c r="Z339" s="5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6"/>
      <c r="AR339" s="6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7"/>
      <c r="BF339" s="7"/>
      <c r="BG339" s="58"/>
      <c r="BH339" s="58"/>
      <c r="BI339" s="58"/>
      <c r="BJ339" s="58"/>
      <c r="BK339" s="58"/>
      <c r="BL339" s="58"/>
      <c r="BM339" s="58"/>
      <c r="BN339" s="58"/>
      <c r="BO339" s="8"/>
      <c r="BP339" s="8"/>
      <c r="BQ339" s="58"/>
      <c r="BR339" s="58"/>
      <c r="BS339" s="58"/>
      <c r="BT339" s="58"/>
      <c r="BU339" s="59"/>
      <c r="BV339" s="58"/>
      <c r="BW339" s="58"/>
      <c r="BX339" s="58"/>
      <c r="BY339" s="58"/>
      <c r="BZ339" s="60"/>
      <c r="CA339" s="58"/>
      <c r="CB339" s="58"/>
      <c r="CC339" s="58"/>
      <c r="CD339" s="58"/>
      <c r="CE339" s="61"/>
      <c r="CF339" s="58"/>
      <c r="CG339" s="58"/>
      <c r="CH339" s="58"/>
      <c r="CI339" s="58"/>
      <c r="CJ339" s="62"/>
      <c r="CK339" s="58"/>
      <c r="CL339" s="58"/>
      <c r="CM339" s="58"/>
      <c r="CN339" s="58"/>
      <c r="CO339" s="63"/>
      <c r="CP339" s="58"/>
      <c r="CQ339" s="58"/>
      <c r="CR339" s="58"/>
      <c r="CS339" s="58"/>
      <c r="CT339" s="15"/>
      <c r="CU339" s="16"/>
      <c r="CV339" s="16"/>
      <c r="CW339" s="16"/>
      <c r="CX339" s="15"/>
      <c r="CY339" s="16"/>
      <c r="CZ339" s="17"/>
    </row>
    <row r="340" spans="1:104" s="18" customFormat="1" ht="15.75" customHeight="1">
      <c r="A340" s="64"/>
      <c r="B340" s="83"/>
      <c r="C340" s="43"/>
      <c r="D340" s="57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"/>
      <c r="Z340" s="5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6"/>
      <c r="AR340" s="6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7"/>
      <c r="BF340" s="7"/>
      <c r="BG340" s="58"/>
      <c r="BH340" s="58"/>
      <c r="BI340" s="58"/>
      <c r="BJ340" s="58"/>
      <c r="BK340" s="58"/>
      <c r="BL340" s="58"/>
      <c r="BM340" s="58"/>
      <c r="BN340" s="58"/>
      <c r="BO340" s="8"/>
      <c r="BP340" s="8"/>
      <c r="BQ340" s="58"/>
      <c r="BR340" s="58"/>
      <c r="BS340" s="58"/>
      <c r="BT340" s="58"/>
      <c r="BU340" s="59"/>
      <c r="BV340" s="58"/>
      <c r="BW340" s="58"/>
      <c r="BX340" s="58"/>
      <c r="BY340" s="58"/>
      <c r="BZ340" s="60"/>
      <c r="CA340" s="58"/>
      <c r="CB340" s="58"/>
      <c r="CC340" s="58"/>
      <c r="CD340" s="58"/>
      <c r="CE340" s="61"/>
      <c r="CF340" s="58"/>
      <c r="CG340" s="58"/>
      <c r="CH340" s="58"/>
      <c r="CI340" s="58"/>
      <c r="CJ340" s="62"/>
      <c r="CK340" s="58"/>
      <c r="CL340" s="58"/>
      <c r="CM340" s="58"/>
      <c r="CN340" s="58"/>
      <c r="CO340" s="63"/>
      <c r="CP340" s="58"/>
      <c r="CQ340" s="58"/>
      <c r="CR340" s="58"/>
      <c r="CS340" s="58"/>
      <c r="CT340" s="15"/>
      <c r="CU340" s="16"/>
      <c r="CV340" s="16"/>
      <c r="CW340" s="16"/>
      <c r="CX340" s="15"/>
      <c r="CY340" s="16"/>
      <c r="CZ340" s="17"/>
    </row>
    <row r="341" spans="1:104" s="18" customFormat="1" ht="15.75" customHeight="1">
      <c r="A341" s="64"/>
      <c r="B341" s="57"/>
      <c r="C341" s="43"/>
      <c r="D341" s="57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"/>
      <c r="Z341" s="5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6"/>
      <c r="AR341" s="6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7"/>
      <c r="BF341" s="7"/>
      <c r="BG341" s="58"/>
      <c r="BH341" s="58"/>
      <c r="BI341" s="58"/>
      <c r="BJ341" s="58"/>
      <c r="BK341" s="58"/>
      <c r="BL341" s="58"/>
      <c r="BM341" s="58"/>
      <c r="BN341" s="58"/>
      <c r="BO341" s="8"/>
      <c r="BP341" s="8"/>
      <c r="BQ341" s="58"/>
      <c r="BR341" s="58"/>
      <c r="BS341" s="58"/>
      <c r="BT341" s="58"/>
      <c r="BU341" s="59"/>
      <c r="BV341" s="58"/>
      <c r="BW341" s="58"/>
      <c r="BX341" s="58"/>
      <c r="BY341" s="58"/>
      <c r="BZ341" s="60"/>
      <c r="CA341" s="58"/>
      <c r="CB341" s="58"/>
      <c r="CC341" s="58"/>
      <c r="CD341" s="58"/>
      <c r="CE341" s="61"/>
      <c r="CF341" s="58"/>
      <c r="CG341" s="58"/>
      <c r="CH341" s="58"/>
      <c r="CI341" s="58"/>
      <c r="CJ341" s="62"/>
      <c r="CK341" s="58"/>
      <c r="CL341" s="58"/>
      <c r="CM341" s="58"/>
      <c r="CN341" s="58"/>
      <c r="CO341" s="63"/>
      <c r="CP341" s="58"/>
      <c r="CQ341" s="58"/>
      <c r="CR341" s="58"/>
      <c r="CS341" s="58"/>
      <c r="CT341" s="15"/>
      <c r="CU341" s="16"/>
      <c r="CV341" s="16"/>
      <c r="CW341" s="16"/>
      <c r="CX341" s="15"/>
      <c r="CY341" s="16"/>
      <c r="CZ341" s="17"/>
    </row>
    <row r="342" spans="1:104" s="18" customFormat="1" ht="15.75" customHeight="1">
      <c r="A342" s="64"/>
      <c r="B342" s="83"/>
      <c r="C342" s="43"/>
      <c r="D342" s="57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"/>
      <c r="Z342" s="5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6"/>
      <c r="AR342" s="6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7"/>
      <c r="BF342" s="7"/>
      <c r="BG342" s="58"/>
      <c r="BH342" s="58"/>
      <c r="BI342" s="58"/>
      <c r="BJ342" s="58"/>
      <c r="BK342" s="58"/>
      <c r="BL342" s="58"/>
      <c r="BM342" s="58"/>
      <c r="BN342" s="58"/>
      <c r="BO342" s="8"/>
      <c r="BP342" s="8"/>
      <c r="BQ342" s="58"/>
      <c r="BR342" s="58"/>
      <c r="BS342" s="58"/>
      <c r="BT342" s="58"/>
      <c r="BU342" s="59"/>
      <c r="BV342" s="58"/>
      <c r="BW342" s="58"/>
      <c r="BX342" s="58"/>
      <c r="BY342" s="58"/>
      <c r="BZ342" s="60"/>
      <c r="CA342" s="58"/>
      <c r="CB342" s="58"/>
      <c r="CC342" s="58"/>
      <c r="CD342" s="58"/>
      <c r="CE342" s="61"/>
      <c r="CF342" s="58"/>
      <c r="CG342" s="58"/>
      <c r="CH342" s="58"/>
      <c r="CI342" s="58"/>
      <c r="CJ342" s="62"/>
      <c r="CK342" s="58"/>
      <c r="CL342" s="58"/>
      <c r="CM342" s="58"/>
      <c r="CN342" s="58"/>
      <c r="CO342" s="63"/>
      <c r="CP342" s="58"/>
      <c r="CQ342" s="58"/>
      <c r="CR342" s="58"/>
      <c r="CS342" s="58"/>
      <c r="CT342" s="15"/>
      <c r="CU342" s="16"/>
      <c r="CV342" s="16"/>
      <c r="CW342" s="16"/>
      <c r="CX342" s="15"/>
      <c r="CY342" s="16"/>
      <c r="CZ342" s="17"/>
    </row>
    <row r="343" spans="1:104" s="18" customFormat="1" ht="15.75" customHeight="1">
      <c r="A343" s="64"/>
      <c r="B343" s="83"/>
      <c r="C343" s="43"/>
      <c r="D343" s="57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"/>
      <c r="Z343" s="5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6"/>
      <c r="AR343" s="6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7"/>
      <c r="BF343" s="7"/>
      <c r="BG343" s="58"/>
      <c r="BH343" s="58"/>
      <c r="BI343" s="58"/>
      <c r="BJ343" s="58"/>
      <c r="BK343" s="58"/>
      <c r="BL343" s="58"/>
      <c r="BM343" s="58"/>
      <c r="BN343" s="58"/>
      <c r="BO343" s="8"/>
      <c r="BP343" s="8"/>
      <c r="BQ343" s="58"/>
      <c r="BR343" s="58"/>
      <c r="BS343" s="58"/>
      <c r="BT343" s="58"/>
      <c r="BU343" s="59"/>
      <c r="BV343" s="58"/>
      <c r="BW343" s="58"/>
      <c r="BX343" s="58"/>
      <c r="BY343" s="58"/>
      <c r="BZ343" s="60"/>
      <c r="CA343" s="58"/>
      <c r="CB343" s="58"/>
      <c r="CC343" s="58"/>
      <c r="CD343" s="58"/>
      <c r="CE343" s="61"/>
      <c r="CF343" s="58"/>
      <c r="CG343" s="58"/>
      <c r="CH343" s="58"/>
      <c r="CI343" s="58"/>
      <c r="CJ343" s="62"/>
      <c r="CK343" s="58"/>
      <c r="CL343" s="58"/>
      <c r="CM343" s="58"/>
      <c r="CN343" s="58"/>
      <c r="CO343" s="63"/>
      <c r="CP343" s="58"/>
      <c r="CQ343" s="58"/>
      <c r="CR343" s="58"/>
      <c r="CS343" s="58"/>
      <c r="CT343" s="15"/>
      <c r="CU343" s="16"/>
      <c r="CV343" s="16"/>
      <c r="CW343" s="16"/>
      <c r="CX343" s="15"/>
      <c r="CY343" s="16"/>
      <c r="CZ343" s="17"/>
    </row>
    <row r="344" spans="1:104" s="18" customFormat="1" ht="15.75" customHeight="1">
      <c r="A344" s="64"/>
      <c r="B344" s="83"/>
      <c r="C344" s="43"/>
      <c r="D344" s="57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"/>
      <c r="Z344" s="5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6"/>
      <c r="AR344" s="6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7"/>
      <c r="BF344" s="7"/>
      <c r="BG344" s="58"/>
      <c r="BH344" s="58"/>
      <c r="BI344" s="58"/>
      <c r="BJ344" s="58"/>
      <c r="BK344" s="58"/>
      <c r="BL344" s="58"/>
      <c r="BM344" s="58"/>
      <c r="BN344" s="58"/>
      <c r="BO344" s="8"/>
      <c r="BP344" s="8"/>
      <c r="BQ344" s="58"/>
      <c r="BR344" s="58"/>
      <c r="BS344" s="58"/>
      <c r="BT344" s="58"/>
      <c r="BU344" s="59"/>
      <c r="BV344" s="58"/>
      <c r="BW344" s="58"/>
      <c r="BX344" s="58"/>
      <c r="BY344" s="58"/>
      <c r="BZ344" s="60"/>
      <c r="CA344" s="58"/>
      <c r="CB344" s="58"/>
      <c r="CC344" s="58"/>
      <c r="CD344" s="58"/>
      <c r="CE344" s="61"/>
      <c r="CF344" s="58"/>
      <c r="CG344" s="58"/>
      <c r="CH344" s="58"/>
      <c r="CI344" s="58"/>
      <c r="CJ344" s="62"/>
      <c r="CK344" s="58"/>
      <c r="CL344" s="58"/>
      <c r="CM344" s="58"/>
      <c r="CN344" s="58"/>
      <c r="CO344" s="63"/>
      <c r="CP344" s="58"/>
      <c r="CQ344" s="58"/>
      <c r="CR344" s="58"/>
      <c r="CS344" s="58"/>
      <c r="CT344" s="15"/>
      <c r="CU344" s="16"/>
      <c r="CV344" s="16"/>
      <c r="CW344" s="16"/>
      <c r="CX344" s="15"/>
      <c r="CY344" s="16"/>
      <c r="CZ344" s="17"/>
    </row>
    <row r="345" spans="1:104" s="18" customFormat="1" ht="15.75" customHeight="1">
      <c r="A345" s="64"/>
      <c r="B345" s="86"/>
      <c r="C345" s="43"/>
      <c r="D345" s="57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"/>
      <c r="Z345" s="5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6"/>
      <c r="AR345" s="6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7"/>
      <c r="BF345" s="7"/>
      <c r="BG345" s="58"/>
      <c r="BH345" s="58"/>
      <c r="BI345" s="58"/>
      <c r="BJ345" s="58"/>
      <c r="BK345" s="58"/>
      <c r="BL345" s="58"/>
      <c r="BM345" s="58"/>
      <c r="BN345" s="58"/>
      <c r="BO345" s="8"/>
      <c r="BP345" s="8"/>
      <c r="BQ345" s="58"/>
      <c r="BR345" s="58"/>
      <c r="BS345" s="58"/>
      <c r="BT345" s="58"/>
      <c r="BU345" s="59"/>
      <c r="BV345" s="58"/>
      <c r="BW345" s="58"/>
      <c r="BX345" s="58"/>
      <c r="BY345" s="58"/>
      <c r="BZ345" s="60"/>
      <c r="CA345" s="58"/>
      <c r="CB345" s="58"/>
      <c r="CC345" s="58"/>
      <c r="CD345" s="58"/>
      <c r="CE345" s="61"/>
      <c r="CF345" s="58"/>
      <c r="CG345" s="58"/>
      <c r="CH345" s="58"/>
      <c r="CI345" s="58"/>
      <c r="CJ345" s="62"/>
      <c r="CK345" s="58"/>
      <c r="CL345" s="58"/>
      <c r="CM345" s="58"/>
      <c r="CN345" s="58"/>
      <c r="CO345" s="63"/>
      <c r="CP345" s="58"/>
      <c r="CQ345" s="58"/>
      <c r="CR345" s="58"/>
      <c r="CS345" s="58"/>
      <c r="CT345" s="15"/>
      <c r="CU345" s="16"/>
      <c r="CV345" s="16"/>
      <c r="CW345" s="16"/>
      <c r="CX345" s="15"/>
      <c r="CY345" s="16"/>
      <c r="CZ345" s="17"/>
    </row>
    <row r="346" spans="1:104" s="18" customFormat="1" ht="15.75" customHeight="1">
      <c r="A346" s="64"/>
      <c r="B346" s="87"/>
      <c r="C346" s="43"/>
      <c r="D346" s="57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"/>
      <c r="Z346" s="5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6"/>
      <c r="AR346" s="6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7"/>
      <c r="BF346" s="7"/>
      <c r="BG346" s="58"/>
      <c r="BH346" s="58"/>
      <c r="BI346" s="58"/>
      <c r="BJ346" s="58"/>
      <c r="BK346" s="58"/>
      <c r="BL346" s="58"/>
      <c r="BM346" s="58"/>
      <c r="BN346" s="58"/>
      <c r="BO346" s="8"/>
      <c r="BP346" s="8"/>
      <c r="BQ346" s="58"/>
      <c r="BR346" s="58"/>
      <c r="BS346" s="58"/>
      <c r="BT346" s="58"/>
      <c r="BU346" s="59"/>
      <c r="BV346" s="58"/>
      <c r="BW346" s="58"/>
      <c r="BX346" s="58"/>
      <c r="BY346" s="58"/>
      <c r="BZ346" s="60"/>
      <c r="CA346" s="58"/>
      <c r="CB346" s="58"/>
      <c r="CC346" s="58"/>
      <c r="CD346" s="58"/>
      <c r="CE346" s="61"/>
      <c r="CF346" s="58"/>
      <c r="CG346" s="58"/>
      <c r="CH346" s="58"/>
      <c r="CI346" s="58"/>
      <c r="CJ346" s="62"/>
      <c r="CK346" s="58"/>
      <c r="CL346" s="58"/>
      <c r="CM346" s="58"/>
      <c r="CN346" s="58"/>
      <c r="CO346" s="63"/>
      <c r="CP346" s="58"/>
      <c r="CQ346" s="58"/>
      <c r="CR346" s="58"/>
      <c r="CS346" s="58"/>
      <c r="CT346" s="15"/>
      <c r="CU346" s="16"/>
      <c r="CV346" s="16"/>
      <c r="CW346" s="16"/>
      <c r="CX346" s="15"/>
      <c r="CY346" s="16"/>
      <c r="CZ346" s="17"/>
    </row>
    <row r="347" spans="1:104" s="18" customFormat="1" ht="15.75" customHeight="1">
      <c r="A347" s="64"/>
      <c r="B347" s="88"/>
      <c r="C347" s="43"/>
      <c r="D347" s="57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"/>
      <c r="Z347" s="5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6"/>
      <c r="AR347" s="6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7"/>
      <c r="BF347" s="7"/>
      <c r="BG347" s="58"/>
      <c r="BH347" s="58"/>
      <c r="BI347" s="58"/>
      <c r="BJ347" s="58"/>
      <c r="BK347" s="58"/>
      <c r="BL347" s="58"/>
      <c r="BM347" s="58"/>
      <c r="BN347" s="58"/>
      <c r="BO347" s="8"/>
      <c r="BP347" s="8"/>
      <c r="BQ347" s="58"/>
      <c r="BR347" s="58"/>
      <c r="BS347" s="58"/>
      <c r="BT347" s="58"/>
      <c r="BU347" s="59"/>
      <c r="BV347" s="58"/>
      <c r="BW347" s="58"/>
      <c r="BX347" s="58"/>
      <c r="BY347" s="58"/>
      <c r="BZ347" s="60"/>
      <c r="CA347" s="58"/>
      <c r="CB347" s="58"/>
      <c r="CC347" s="58"/>
      <c r="CD347" s="58"/>
      <c r="CE347" s="61"/>
      <c r="CF347" s="58"/>
      <c r="CG347" s="58"/>
      <c r="CH347" s="58"/>
      <c r="CI347" s="58"/>
      <c r="CJ347" s="62"/>
      <c r="CK347" s="58"/>
      <c r="CL347" s="58"/>
      <c r="CM347" s="58"/>
      <c r="CN347" s="58"/>
      <c r="CO347" s="63"/>
      <c r="CP347" s="58"/>
      <c r="CQ347" s="58"/>
      <c r="CR347" s="58"/>
      <c r="CS347" s="58"/>
      <c r="CT347" s="15"/>
      <c r="CU347" s="16"/>
      <c r="CV347" s="16"/>
      <c r="CW347" s="16"/>
      <c r="CX347" s="15"/>
      <c r="CY347" s="16"/>
      <c r="CZ347" s="17"/>
    </row>
    <row r="348" spans="1:104" s="18" customFormat="1" ht="15.75" customHeight="1">
      <c r="A348" s="64"/>
      <c r="B348" s="87"/>
      <c r="C348" s="43"/>
      <c r="D348" s="57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"/>
      <c r="Z348" s="5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6"/>
      <c r="AR348" s="6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7"/>
      <c r="BF348" s="7"/>
      <c r="BG348" s="58"/>
      <c r="BH348" s="58"/>
      <c r="BI348" s="58"/>
      <c r="BJ348" s="58"/>
      <c r="BK348" s="58"/>
      <c r="BL348" s="58"/>
      <c r="BM348" s="58"/>
      <c r="BN348" s="58"/>
      <c r="BO348" s="8"/>
      <c r="BP348" s="8"/>
      <c r="BQ348" s="58"/>
      <c r="BR348" s="58"/>
      <c r="BS348" s="58"/>
      <c r="BT348" s="58"/>
      <c r="BU348" s="59"/>
      <c r="BV348" s="58"/>
      <c r="BW348" s="58"/>
      <c r="BX348" s="58"/>
      <c r="BY348" s="58"/>
      <c r="BZ348" s="60"/>
      <c r="CA348" s="58"/>
      <c r="CB348" s="58"/>
      <c r="CC348" s="58"/>
      <c r="CD348" s="58"/>
      <c r="CE348" s="61"/>
      <c r="CF348" s="58"/>
      <c r="CG348" s="58"/>
      <c r="CH348" s="58"/>
      <c r="CI348" s="58"/>
      <c r="CJ348" s="62"/>
      <c r="CK348" s="58"/>
      <c r="CL348" s="58"/>
      <c r="CM348" s="58"/>
      <c r="CN348" s="58"/>
      <c r="CO348" s="63"/>
      <c r="CP348" s="58"/>
      <c r="CQ348" s="58"/>
      <c r="CR348" s="58"/>
      <c r="CS348" s="58"/>
      <c r="CT348" s="15"/>
      <c r="CU348" s="16"/>
      <c r="CV348" s="16"/>
      <c r="CW348" s="16"/>
      <c r="CX348" s="15"/>
      <c r="CY348" s="16"/>
      <c r="CZ348" s="17"/>
    </row>
    <row r="349" spans="1:104" s="18" customFormat="1" ht="15.75" customHeight="1">
      <c r="A349" s="64"/>
      <c r="B349" s="89"/>
      <c r="C349" s="43"/>
      <c r="D349" s="57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"/>
      <c r="Z349" s="5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6"/>
      <c r="AR349" s="6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7"/>
      <c r="BF349" s="7"/>
      <c r="BG349" s="58"/>
      <c r="BH349" s="58"/>
      <c r="BI349" s="58"/>
      <c r="BJ349" s="58"/>
      <c r="BK349" s="58"/>
      <c r="BL349" s="58"/>
      <c r="BM349" s="58"/>
      <c r="BN349" s="58"/>
      <c r="BO349" s="8"/>
      <c r="BP349" s="8"/>
      <c r="BQ349" s="58"/>
      <c r="BR349" s="58"/>
      <c r="BS349" s="58"/>
      <c r="BT349" s="58"/>
      <c r="BU349" s="59"/>
      <c r="BV349" s="58"/>
      <c r="BW349" s="58"/>
      <c r="BX349" s="58"/>
      <c r="BY349" s="58"/>
      <c r="BZ349" s="60"/>
      <c r="CA349" s="58"/>
      <c r="CB349" s="58"/>
      <c r="CC349" s="58"/>
      <c r="CD349" s="58"/>
      <c r="CE349" s="61"/>
      <c r="CF349" s="58"/>
      <c r="CG349" s="58"/>
      <c r="CH349" s="58"/>
      <c r="CI349" s="58"/>
      <c r="CJ349" s="62"/>
      <c r="CK349" s="58"/>
      <c r="CL349" s="58"/>
      <c r="CM349" s="58"/>
      <c r="CN349" s="58"/>
      <c r="CO349" s="63"/>
      <c r="CP349" s="58"/>
      <c r="CQ349" s="58"/>
      <c r="CR349" s="58"/>
      <c r="CS349" s="58"/>
      <c r="CT349" s="15"/>
      <c r="CU349" s="16"/>
      <c r="CV349" s="16"/>
      <c r="CW349" s="16"/>
      <c r="CX349" s="15"/>
      <c r="CY349" s="16"/>
      <c r="CZ349" s="17"/>
    </row>
    <row r="350" spans="1:104" s="18" customFormat="1" ht="15.75" customHeight="1">
      <c r="A350" s="64"/>
      <c r="B350" s="89"/>
      <c r="C350" s="43"/>
      <c r="D350" s="57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"/>
      <c r="Z350" s="5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6"/>
      <c r="AR350" s="6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7"/>
      <c r="BF350" s="7"/>
      <c r="BG350" s="58"/>
      <c r="BH350" s="58"/>
      <c r="BI350" s="58"/>
      <c r="BJ350" s="58"/>
      <c r="BK350" s="58"/>
      <c r="BL350" s="58"/>
      <c r="BM350" s="58"/>
      <c r="BN350" s="58"/>
      <c r="BO350" s="8"/>
      <c r="BP350" s="8"/>
      <c r="BQ350" s="58"/>
      <c r="BR350" s="58"/>
      <c r="BS350" s="58"/>
      <c r="BT350" s="58"/>
      <c r="BU350" s="59"/>
      <c r="BV350" s="58"/>
      <c r="BW350" s="58"/>
      <c r="BX350" s="58"/>
      <c r="BY350" s="58"/>
      <c r="BZ350" s="60"/>
      <c r="CA350" s="58"/>
      <c r="CB350" s="58"/>
      <c r="CC350" s="58"/>
      <c r="CD350" s="58"/>
      <c r="CE350" s="61"/>
      <c r="CF350" s="58"/>
      <c r="CG350" s="58"/>
      <c r="CH350" s="58"/>
      <c r="CI350" s="58"/>
      <c r="CJ350" s="62"/>
      <c r="CK350" s="58"/>
      <c r="CL350" s="58"/>
      <c r="CM350" s="58"/>
      <c r="CN350" s="58"/>
      <c r="CO350" s="63"/>
      <c r="CP350" s="58"/>
      <c r="CQ350" s="58"/>
      <c r="CR350" s="58"/>
      <c r="CS350" s="58"/>
      <c r="CT350" s="15"/>
      <c r="CU350" s="16"/>
      <c r="CV350" s="16"/>
      <c r="CW350" s="16"/>
      <c r="CX350" s="15"/>
      <c r="CY350" s="16"/>
      <c r="CZ350" s="17"/>
    </row>
    <row r="351" spans="1:104" s="18" customFormat="1" ht="15.75" customHeight="1">
      <c r="A351" s="64"/>
      <c r="B351" s="90"/>
      <c r="C351" s="43"/>
      <c r="D351" s="57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"/>
      <c r="Z351" s="5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6"/>
      <c r="AR351" s="6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7"/>
      <c r="BF351" s="7"/>
      <c r="BG351" s="58"/>
      <c r="BH351" s="58"/>
      <c r="BI351" s="58"/>
      <c r="BJ351" s="58"/>
      <c r="BK351" s="58"/>
      <c r="BL351" s="58"/>
      <c r="BM351" s="58"/>
      <c r="BN351" s="58"/>
      <c r="BO351" s="8"/>
      <c r="BP351" s="8"/>
      <c r="BQ351" s="58"/>
      <c r="BR351" s="58"/>
      <c r="BS351" s="58"/>
      <c r="BT351" s="58"/>
      <c r="BU351" s="59"/>
      <c r="BV351" s="58"/>
      <c r="BW351" s="58"/>
      <c r="BX351" s="58"/>
      <c r="BY351" s="58"/>
      <c r="BZ351" s="60"/>
      <c r="CA351" s="58"/>
      <c r="CB351" s="58"/>
      <c r="CC351" s="58"/>
      <c r="CD351" s="58"/>
      <c r="CE351" s="61"/>
      <c r="CF351" s="58"/>
      <c r="CG351" s="58"/>
      <c r="CH351" s="58"/>
      <c r="CI351" s="58"/>
      <c r="CJ351" s="62"/>
      <c r="CK351" s="58"/>
      <c r="CL351" s="58"/>
      <c r="CM351" s="58"/>
      <c r="CN351" s="58"/>
      <c r="CO351" s="63"/>
      <c r="CP351" s="58"/>
      <c r="CQ351" s="58"/>
      <c r="CR351" s="58"/>
      <c r="CS351" s="58"/>
      <c r="CT351" s="15"/>
      <c r="CU351" s="16"/>
      <c r="CV351" s="16"/>
      <c r="CW351" s="16"/>
      <c r="CX351" s="15"/>
      <c r="CY351" s="16"/>
      <c r="CZ351" s="17"/>
    </row>
    <row r="352" spans="1:104" s="18" customFormat="1" ht="15.75" customHeight="1">
      <c r="A352" s="64"/>
      <c r="B352" s="89"/>
      <c r="C352" s="43"/>
      <c r="D352" s="57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"/>
      <c r="Z352" s="5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6"/>
      <c r="AR352" s="6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7"/>
      <c r="BF352" s="7"/>
      <c r="BG352" s="58"/>
      <c r="BH352" s="58"/>
      <c r="BI352" s="58"/>
      <c r="BJ352" s="58"/>
      <c r="BK352" s="58"/>
      <c r="BL352" s="58"/>
      <c r="BM352" s="58"/>
      <c r="BN352" s="58"/>
      <c r="BO352" s="8"/>
      <c r="BP352" s="8"/>
      <c r="BQ352" s="58"/>
      <c r="BR352" s="58"/>
      <c r="BS352" s="58"/>
      <c r="BT352" s="58"/>
      <c r="BU352" s="59"/>
      <c r="BV352" s="58"/>
      <c r="BW352" s="58"/>
      <c r="BX352" s="58"/>
      <c r="BY352" s="58"/>
      <c r="BZ352" s="60"/>
      <c r="CA352" s="58"/>
      <c r="CB352" s="58"/>
      <c r="CC352" s="58"/>
      <c r="CD352" s="58"/>
      <c r="CE352" s="61"/>
      <c r="CF352" s="58"/>
      <c r="CG352" s="58"/>
      <c r="CH352" s="58"/>
      <c r="CI352" s="58"/>
      <c r="CJ352" s="62"/>
      <c r="CK352" s="58"/>
      <c r="CL352" s="58"/>
      <c r="CM352" s="58"/>
      <c r="CN352" s="58"/>
      <c r="CO352" s="63"/>
      <c r="CP352" s="58"/>
      <c r="CQ352" s="58"/>
      <c r="CR352" s="58"/>
      <c r="CS352" s="58"/>
      <c r="CT352" s="15"/>
      <c r="CU352" s="16"/>
      <c r="CV352" s="16"/>
      <c r="CW352" s="16"/>
      <c r="CX352" s="15"/>
      <c r="CY352" s="16"/>
      <c r="CZ352" s="17"/>
    </row>
    <row r="353" spans="1:104" s="18" customFormat="1" ht="15.75" customHeight="1">
      <c r="A353" s="64"/>
      <c r="B353" s="90"/>
      <c r="C353" s="43"/>
      <c r="D353" s="57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"/>
      <c r="Z353" s="5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6"/>
      <c r="AR353" s="6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7"/>
      <c r="BF353" s="7"/>
      <c r="BG353" s="58"/>
      <c r="BH353" s="58"/>
      <c r="BI353" s="58"/>
      <c r="BJ353" s="58"/>
      <c r="BK353" s="58"/>
      <c r="BL353" s="58"/>
      <c r="BM353" s="58"/>
      <c r="BN353" s="58"/>
      <c r="BO353" s="8"/>
      <c r="BP353" s="8"/>
      <c r="BQ353" s="58"/>
      <c r="BR353" s="58"/>
      <c r="BS353" s="58"/>
      <c r="BT353" s="58"/>
      <c r="BU353" s="59"/>
      <c r="BV353" s="58"/>
      <c r="BW353" s="58"/>
      <c r="BX353" s="58"/>
      <c r="BY353" s="58"/>
      <c r="BZ353" s="60"/>
      <c r="CA353" s="58"/>
      <c r="CB353" s="58"/>
      <c r="CC353" s="58"/>
      <c r="CD353" s="58"/>
      <c r="CE353" s="61"/>
      <c r="CF353" s="58"/>
      <c r="CG353" s="58"/>
      <c r="CH353" s="58"/>
      <c r="CI353" s="58"/>
      <c r="CJ353" s="62"/>
      <c r="CK353" s="58"/>
      <c r="CL353" s="58"/>
      <c r="CM353" s="58"/>
      <c r="CN353" s="58"/>
      <c r="CO353" s="63"/>
      <c r="CP353" s="58"/>
      <c r="CQ353" s="58"/>
      <c r="CR353" s="58"/>
      <c r="CS353" s="58"/>
      <c r="CT353" s="15"/>
      <c r="CU353" s="16"/>
      <c r="CV353" s="16"/>
      <c r="CW353" s="16"/>
      <c r="CX353" s="15"/>
      <c r="CY353" s="16"/>
      <c r="CZ353" s="17"/>
    </row>
    <row r="354" spans="1:104" s="18" customFormat="1" ht="15.75" customHeight="1">
      <c r="A354" s="64"/>
      <c r="B354" s="90"/>
      <c r="C354" s="43"/>
      <c r="D354" s="57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"/>
      <c r="Z354" s="5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6"/>
      <c r="AR354" s="6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7"/>
      <c r="BF354" s="7"/>
      <c r="BG354" s="58"/>
      <c r="BH354" s="58"/>
      <c r="BI354" s="58"/>
      <c r="BJ354" s="58"/>
      <c r="BK354" s="58"/>
      <c r="BL354" s="58"/>
      <c r="BM354" s="58"/>
      <c r="BN354" s="58"/>
      <c r="BO354" s="8"/>
      <c r="BP354" s="8"/>
      <c r="BQ354" s="58"/>
      <c r="BR354" s="58"/>
      <c r="BS354" s="58"/>
      <c r="BT354" s="58"/>
      <c r="BU354" s="59"/>
      <c r="BV354" s="58"/>
      <c r="BW354" s="58"/>
      <c r="BX354" s="58"/>
      <c r="BY354" s="58"/>
      <c r="BZ354" s="60"/>
      <c r="CA354" s="58"/>
      <c r="CB354" s="58"/>
      <c r="CC354" s="58"/>
      <c r="CD354" s="58"/>
      <c r="CE354" s="61"/>
      <c r="CF354" s="58"/>
      <c r="CG354" s="58"/>
      <c r="CH354" s="58"/>
      <c r="CI354" s="58"/>
      <c r="CJ354" s="62"/>
      <c r="CK354" s="58"/>
      <c r="CL354" s="58"/>
      <c r="CM354" s="58"/>
      <c r="CN354" s="58"/>
      <c r="CO354" s="63"/>
      <c r="CP354" s="58"/>
      <c r="CQ354" s="58"/>
      <c r="CR354" s="58"/>
      <c r="CS354" s="58"/>
      <c r="CT354" s="15"/>
      <c r="CU354" s="16"/>
      <c r="CV354" s="16"/>
      <c r="CW354" s="16"/>
      <c r="CX354" s="15"/>
      <c r="CY354" s="16"/>
      <c r="CZ354" s="17"/>
    </row>
    <row r="355" spans="1:104" s="18" customFormat="1" ht="15.75" customHeight="1">
      <c r="A355" s="64"/>
      <c r="B355" s="90"/>
      <c r="C355" s="43"/>
      <c r="D355" s="57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"/>
      <c r="Z355" s="5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6"/>
      <c r="AR355" s="6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7"/>
      <c r="BF355" s="7"/>
      <c r="BG355" s="58"/>
      <c r="BH355" s="58"/>
      <c r="BI355" s="58"/>
      <c r="BJ355" s="58"/>
      <c r="BK355" s="58"/>
      <c r="BL355" s="58"/>
      <c r="BM355" s="58"/>
      <c r="BN355" s="58"/>
      <c r="BO355" s="8"/>
      <c r="BP355" s="8"/>
      <c r="BQ355" s="58"/>
      <c r="BR355" s="58"/>
      <c r="BS355" s="58"/>
      <c r="BT355" s="58"/>
      <c r="BU355" s="59"/>
      <c r="BV355" s="58"/>
      <c r="BW355" s="58"/>
      <c r="BX355" s="58"/>
      <c r="BY355" s="58"/>
      <c r="BZ355" s="60"/>
      <c r="CA355" s="58"/>
      <c r="CB355" s="58"/>
      <c r="CC355" s="58"/>
      <c r="CD355" s="58"/>
      <c r="CE355" s="61"/>
      <c r="CF355" s="58"/>
      <c r="CG355" s="58"/>
      <c r="CH355" s="58"/>
      <c r="CI355" s="58"/>
      <c r="CJ355" s="62"/>
      <c r="CK355" s="58"/>
      <c r="CL355" s="58"/>
      <c r="CM355" s="58"/>
      <c r="CN355" s="58"/>
      <c r="CO355" s="63"/>
      <c r="CP355" s="58"/>
      <c r="CQ355" s="58"/>
      <c r="CR355" s="58"/>
      <c r="CS355" s="58"/>
      <c r="CT355" s="15"/>
      <c r="CU355" s="16"/>
      <c r="CV355" s="16"/>
      <c r="CW355" s="16"/>
      <c r="CX355" s="15"/>
      <c r="CY355" s="16"/>
      <c r="CZ355" s="17"/>
    </row>
    <row r="356" spans="1:104" s="18" customFormat="1" ht="15.75" customHeight="1">
      <c r="A356" s="64"/>
      <c r="B356" s="89"/>
      <c r="C356" s="43"/>
      <c r="D356" s="57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"/>
      <c r="Z356" s="5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6"/>
      <c r="AR356" s="6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7"/>
      <c r="BF356" s="7"/>
      <c r="BG356" s="58"/>
      <c r="BH356" s="58"/>
      <c r="BI356" s="58"/>
      <c r="BJ356" s="58"/>
      <c r="BK356" s="58"/>
      <c r="BL356" s="58"/>
      <c r="BM356" s="58"/>
      <c r="BN356" s="58"/>
      <c r="BO356" s="8"/>
      <c r="BP356" s="8"/>
      <c r="BQ356" s="58"/>
      <c r="BR356" s="58"/>
      <c r="BS356" s="58"/>
      <c r="BT356" s="58"/>
      <c r="BU356" s="59"/>
      <c r="BV356" s="58"/>
      <c r="BW356" s="58"/>
      <c r="BX356" s="58"/>
      <c r="BY356" s="58"/>
      <c r="BZ356" s="60"/>
      <c r="CA356" s="58"/>
      <c r="CB356" s="58"/>
      <c r="CC356" s="58"/>
      <c r="CD356" s="58"/>
      <c r="CE356" s="61"/>
      <c r="CF356" s="58"/>
      <c r="CG356" s="58"/>
      <c r="CH356" s="58"/>
      <c r="CI356" s="58"/>
      <c r="CJ356" s="62"/>
      <c r="CK356" s="58"/>
      <c r="CL356" s="58"/>
      <c r="CM356" s="58"/>
      <c r="CN356" s="58"/>
      <c r="CO356" s="63"/>
      <c r="CP356" s="58"/>
      <c r="CQ356" s="58"/>
      <c r="CR356" s="58"/>
      <c r="CS356" s="58"/>
      <c r="CT356" s="15"/>
      <c r="CU356" s="16"/>
      <c r="CV356" s="16"/>
      <c r="CW356" s="16"/>
      <c r="CX356" s="15"/>
      <c r="CY356" s="16"/>
      <c r="CZ356" s="17"/>
    </row>
    <row r="357" spans="1:104" s="18" customFormat="1" ht="15.75" customHeight="1">
      <c r="A357" s="64"/>
      <c r="B357" s="136"/>
      <c r="C357" s="43"/>
      <c r="D357" s="57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"/>
      <c r="Z357" s="5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6"/>
      <c r="AR357" s="6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7"/>
      <c r="BF357" s="7"/>
      <c r="BG357" s="58"/>
      <c r="BH357" s="58"/>
      <c r="BI357" s="58"/>
      <c r="BJ357" s="58"/>
      <c r="BK357" s="58"/>
      <c r="BL357" s="58"/>
      <c r="BM357" s="58"/>
      <c r="BN357" s="58"/>
      <c r="BO357" s="8"/>
      <c r="BP357" s="8"/>
      <c r="BQ357" s="58"/>
      <c r="BR357" s="58"/>
      <c r="BS357" s="58"/>
      <c r="BT357" s="58"/>
      <c r="BU357" s="59"/>
      <c r="BV357" s="58"/>
      <c r="BW357" s="58"/>
      <c r="BX357" s="58"/>
      <c r="BY357" s="58"/>
      <c r="BZ357" s="60"/>
      <c r="CA357" s="58"/>
      <c r="CB357" s="58"/>
      <c r="CC357" s="58"/>
      <c r="CD357" s="58"/>
      <c r="CE357" s="61"/>
      <c r="CF357" s="58"/>
      <c r="CG357" s="58"/>
      <c r="CH357" s="58"/>
      <c r="CI357" s="58"/>
      <c r="CJ357" s="62"/>
      <c r="CK357" s="58"/>
      <c r="CL357" s="58"/>
      <c r="CM357" s="58"/>
      <c r="CN357" s="58"/>
      <c r="CO357" s="63"/>
      <c r="CP357" s="58"/>
      <c r="CQ357" s="58"/>
      <c r="CR357" s="58"/>
      <c r="CS357" s="58"/>
      <c r="CT357" s="15"/>
      <c r="CU357" s="16"/>
      <c r="CV357" s="16"/>
      <c r="CW357" s="16"/>
      <c r="CX357" s="15"/>
      <c r="CY357" s="16"/>
      <c r="CZ357" s="17"/>
    </row>
  </sheetData>
  <phoneticPr fontId="8" type="noConversion"/>
  <dataValidations disablePrompts="1" count="2">
    <dataValidation type="custom" allowBlank="1" showInputMessage="1" showErrorMessage="1" prompt="Recuerda - Apellidos con Mayusculas y Nombres tipo oracion" sqref="D42 D48 D52 D109:D110 D113 L109:L110 D119 L113 D38:D39 L119 B52 B48 B42 B38:B39 B119 B113 B109:B110 B200 B259 AP256 B269 AP259 B302 AP269 D277:D278 B305 B315 D333 D323:D324 D327 B256 B333 B337 D337">
      <formula1>AND(GTE(LEN(B38),MIN((0),(50))),LTE(LEN(B38),MAX((0),(50))))</formula1>
    </dataValidation>
    <dataValidation type="textLength" allowBlank="1" showInputMessage="1" showErrorMessage="1" promptTitle="Recuerda" prompt="Apellidos con Mayusculas y Nombres tipo oracion" sqref="B170 B230 D220:D221 B211 D224 B166:B167 B197 D230">
      <formula1>0</formula1>
      <formula2>50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Luffi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De Los Santos</dc:creator>
  <cp:lastModifiedBy>otonashieder2</cp:lastModifiedBy>
  <dcterms:created xsi:type="dcterms:W3CDTF">2020-08-07T05:34:42Z</dcterms:created>
  <dcterms:modified xsi:type="dcterms:W3CDTF">2020-12-28T17:40:53Z</dcterms:modified>
</cp:coreProperties>
</file>